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Blueprint Personas" sheetId="1" state="visible" r:id="rId1"/>
    <sheet name="2-Core Services" sheetId="2" state="visible" r:id="rId2"/>
    <sheet name="3-Blue Ocean Services" sheetId="3" state="visible" r:id="rId3"/>
    <sheet name="4-Industry Niches" sheetId="4" state="visible" r:id="rId4"/>
    <sheet name="5-Personas (48)" sheetId="5" state="visible" r:id="rId5"/>
    <sheet name="6-Offer Engine" sheetId="6" state="visible" r:id="rId6"/>
    <sheet name="7-Pricing Plans" sheetId="7" state="visible" r:id="rId7"/>
    <sheet name="8-Design Systems" sheetId="8" state="visible" r:id="rId8"/>
    <sheet name="9-GMB Profiles" sheetId="9" state="visible" r:id="rId9"/>
    <sheet name="10-SEO Keywords"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B4332"/>
      </patternFill>
    </fill>
  </fills>
  <borders count="2">
    <border>
      <left/>
      <right/>
      <top/>
      <bottom/>
      <diagonal/>
    </border>
    <border>
      <right style="thin">
        <color rgb="00B7E4C7"/>
      </right>
      <bottom style="thin">
        <color rgb="00B7E4C7"/>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s>
  <sheetData>
    <row r="1">
      <c r="A1" s="1" t="inlineStr">
        <is>
          <t>Persona #</t>
        </is>
      </c>
      <c r="B1" s="1" t="inlineStr">
        <is>
          <t>Persona Name</t>
        </is>
      </c>
      <c r="C1" s="1" t="inlineStr">
        <is>
          <t>Business Type</t>
        </is>
      </c>
      <c r="D1" s="1" t="inlineStr">
        <is>
          <t>Team Size</t>
        </is>
      </c>
      <c r="E1" s="1" t="inlineStr">
        <is>
          <t>Current Tools</t>
        </is>
      </c>
      <c r="F1" s="1" t="inlineStr">
        <is>
          <t>Revenue Model</t>
        </is>
      </c>
      <c r="G1" s="1" t="inlineStr">
        <is>
          <t>Monthly Price Range</t>
        </is>
      </c>
      <c r="H1" s="1" t="inlineStr">
        <is>
          <t>Primary Pain Points</t>
        </is>
      </c>
      <c r="I1" s="1" t="inlineStr">
        <is>
          <t>LeadOS Plan Recommended</t>
        </is>
      </c>
      <c r="J1" s="1" t="inlineStr">
        <is>
          <t>Setup Fee</t>
        </is>
      </c>
      <c r="K1" s="1" t="inlineStr">
        <is>
          <t>Monthly Fee</t>
        </is>
      </c>
      <c r="L1" s="1" t="inlineStr">
        <is>
          <t>Primary Funnel Family</t>
        </is>
      </c>
      <c r="M1" s="1" t="inlineStr">
        <is>
          <t>Secondary Funnel</t>
        </is>
      </c>
      <c r="N1" s="1" t="inlineStr">
        <is>
          <t>Assessment Type</t>
        </is>
      </c>
      <c r="O1" s="1" t="inlineStr">
        <is>
          <t>Lead Magnet Type</t>
        </is>
      </c>
      <c r="P1" s="1" t="inlineStr">
        <is>
          <t>Nurture Sequence Length</t>
        </is>
      </c>
      <c r="Q1" s="1" t="inlineStr">
        <is>
          <t>Scoring Bias (Intent/Fit/Engage/Urgency)</t>
        </is>
      </c>
      <c r="R1" s="1" t="inlineStr">
        <is>
          <t>Primary Integrations Needed</t>
        </is>
      </c>
      <c r="S1" s="1" t="inlineStr">
        <is>
          <t>Dashboard Pages Used</t>
        </is>
      </c>
      <c r="T1" s="1" t="inlineStr">
        <is>
          <t>GMB Category</t>
        </is>
      </c>
      <c r="U1" s="1" t="inlineStr">
        <is>
          <t>GMB Primary Service</t>
        </is>
      </c>
      <c r="V1" s="1" t="inlineStr">
        <is>
          <t>GMB Service Area Type</t>
        </is>
      </c>
      <c r="W1" s="1" t="inlineStr">
        <is>
          <t>Website Type</t>
        </is>
      </c>
      <c r="X1" s="1" t="inlineStr">
        <is>
          <t>Domain Strategy</t>
        </is>
      </c>
      <c r="Y1" s="1" t="inlineStr">
        <is>
          <t>Homepage Hero Headline</t>
        </is>
      </c>
      <c r="Z1" s="1" t="inlineStr">
        <is>
          <t>Primary CTA</t>
        </is>
      </c>
      <c r="AA1" s="1" t="inlineStr">
        <is>
          <t>Trust Signals</t>
        </is>
      </c>
      <c r="AB1" s="1" t="inlineStr">
        <is>
          <t>Social Proof Strategy</t>
        </is>
      </c>
      <c r="AC1" s="1" t="inlineStr">
        <is>
          <t>SEO Primary Keywords</t>
        </is>
      </c>
      <c r="AD1" s="1" t="inlineStr">
        <is>
          <t>SEO Content Strategy</t>
        </is>
      </c>
      <c r="AE1" s="1" t="inlineStr">
        <is>
          <t>Authority Site Topic Clusters</t>
        </is>
      </c>
      <c r="AF1" s="1" t="inlineStr">
        <is>
          <t>Directory Listing Categories</t>
        </is>
      </c>
      <c r="AG1" s="1" t="inlineStr">
        <is>
          <t>Design Primary Color</t>
        </is>
      </c>
      <c r="AH1" s="1" t="inlineStr">
        <is>
          <t>Design Secondary Color</t>
        </is>
      </c>
      <c r="AI1" s="1" t="inlineStr">
        <is>
          <t>Design Accent</t>
        </is>
      </c>
      <c r="AJ1" s="1" t="inlineStr">
        <is>
          <t>Typography Heading</t>
        </is>
      </c>
      <c r="AK1" s="1" t="inlineStr">
        <is>
          <t>Typography Body</t>
        </is>
      </c>
      <c r="AL1" s="1" t="inlineStr">
        <is>
          <t>Design Mood</t>
        </is>
      </c>
      <c r="AM1" s="1" t="inlineStr">
        <is>
          <t>Monetization Strategy</t>
        </is>
      </c>
      <c r="AN1" s="1" t="inlineStr">
        <is>
          <t>Upsell Path</t>
        </is>
      </c>
      <c r="AO1" s="1" t="inlineStr">
        <is>
          <t>Retention Mechanics</t>
        </is>
      </c>
    </row>
    <row r="2">
      <c r="A2" s="2" t="inlineStr">
        <is>
          <t>1</t>
        </is>
      </c>
      <c r="B2" s="2" t="inlineStr">
        <is>
          <t>Sarah — Agency Owner</t>
        </is>
      </c>
      <c r="C2" s="2" t="inlineStr">
        <is>
          <t>Digital Marketing Agency</t>
        </is>
      </c>
      <c r="D2" s="2" t="inlineStr">
        <is>
          <t>12 people, 15 clients</t>
        </is>
      </c>
      <c r="E2" s="2" t="inlineStr">
        <is>
          <t>8 separate SaaS tools, 20+ hrs/wk manual reporting</t>
        </is>
      </c>
      <c r="F2" s="2" t="inlineStr">
        <is>
          <t>Managed Service</t>
        </is>
      </c>
      <c r="G2" s="2" t="inlineStr">
        <is>
          <t>$200–$1,000/mo per client</t>
        </is>
      </c>
      <c r="H2" s="2" t="inlineStr">
        <is>
          <t>Tool sprawl (8 SaaS); manual reporting 20+ hrs/wk; no unified dashboard; per-client config takes days; ROI attribution impossible across tools</t>
        </is>
      </c>
      <c r="I2" s="2" t="inlineStr">
        <is>
          <t>Managed Growth</t>
        </is>
      </c>
      <c r="J2" s="2" t="inlineStr">
        <is>
          <t>$7,500</t>
        </is>
      </c>
      <c r="K2" s="2" t="inlineStr">
        <is>
          <t>$5,000/mo</t>
        </is>
      </c>
      <c r="L2" s="2" t="inlineStr">
        <is>
          <t>qualification</t>
        </is>
      </c>
      <c r="M2" s="2" t="inlineStr">
        <is>
          <t>authority</t>
        </is>
      </c>
      <c r="N2" s="2" t="inlineStr">
        <is>
          <t>Agency Operations Assessment</t>
        </is>
      </c>
      <c r="O2" s="2" t="inlineStr">
        <is>
          <t>report_insight (SaaS Replacement Calculator)</t>
        </is>
      </c>
      <c r="P2" s="2" t="inlineStr">
        <is>
          <t>7 stages (0,2,5,10,14,21,30 days)</t>
        </is>
      </c>
      <c r="Q2" s="2" t="inlineStr">
        <is>
          <t>0.25 / 0.30 / 0.25 / 0.20</t>
        </is>
      </c>
      <c r="R2" s="2" t="inlineStr">
        <is>
          <t>Sinosend (email), EasyText (SMS), SuiteDash (CRM), n8n (automation), Umami (analytics)</t>
        </is>
      </c>
      <c r="S2" s="2" t="inlineStr">
        <is>
          <t>Home, Leads, Analytics, Credentials, Billing, Experiments, Creative, Workflows, Providers</t>
        </is>
      </c>
      <c r="T2" s="2" t="inlineStr">
        <is>
          <t>Marketing Agency</t>
        </is>
      </c>
      <c r="U2" s="2" t="inlineStr">
        <is>
          <t>Lead Generation Services</t>
        </is>
      </c>
      <c r="V2" s="2" t="inlineStr">
        <is>
          <t>Service area (multi-city)</t>
        </is>
      </c>
      <c r="W2" s="2" t="inlineStr">
        <is>
          <t>Authority + Lead Gen Hybrid</t>
        </is>
      </c>
      <c r="X2" s="2" t="inlineStr">
        <is>
          <t>leados-agency.com or brand.leadosdemo.com</t>
        </is>
      </c>
      <c r="Y2" s="2" t="inlineStr">
        <is>
          <t>Stop managing 8 tools. Run all 15 clients from one dashboard.</t>
        </is>
      </c>
      <c r="Z2" s="2" t="inlineStr">
        <is>
          <t>Book a Strategy Session</t>
        </is>
      </c>
      <c r="AA2" s="2" t="inlineStr">
        <is>
          <t>200+ agencies served; 47% avg lead increase; SaaS replacement savings calculator</t>
        </is>
      </c>
      <c r="AB2" s="2" t="inlineStr">
        <is>
          <t>Case studies from agencies; ROI calculator; before/after tool stack comparison</t>
        </is>
      </c>
      <c r="AC2" s="2" t="inlineStr">
        <is>
          <t>lead generation agency software, white label lead gen platform, agency CRM automation</t>
        </is>
      </c>
      <c r="AD2" s="2" t="inlineStr">
        <is>
          <t>Blog: agency scaling, client retention, multi-niche management; Case studies per niche served</t>
        </is>
      </c>
      <c r="AE2" s="2" t="inlineStr">
        <is>
          <t>Agency Operations, Client Management, Multi-Niche Lead Gen, Reporting &amp; Attribution</t>
        </is>
      </c>
      <c r="AF2" s="2" t="inlineStr">
        <is>
          <t>Marketing Services, Lead Generation, Digital Marketing Agency, Business Consulting</t>
        </is>
      </c>
      <c r="AG2" s="2" t="inlineStr">
        <is>
          <t>#1B4332 (Deep Forest)</t>
        </is>
      </c>
      <c r="AH2" s="2" t="inlineStr">
        <is>
          <t>#2D6A4F (Sage)</t>
        </is>
      </c>
      <c r="AI2" s="2" t="inlineStr">
        <is>
          <t>#C4632D (Amber)</t>
        </is>
      </c>
      <c r="AJ2" s="2" t="inlineStr">
        <is>
          <t>Inter</t>
        </is>
      </c>
      <c r="AK2" s="2" t="inlineStr">
        <is>
          <t>Inter</t>
        </is>
      </c>
      <c r="AL2" s="2" t="inlineStr">
        <is>
          <t>Professional, Trustworthy, Data-Driven</t>
        </is>
      </c>
      <c r="AM2" s="2" t="inlineStr">
        <is>
          <t>Managed monthly retainer per client; setup fee; upsell to more niches</t>
        </is>
      </c>
      <c r="AN2" s="2" t="inlineStr">
        <is>
          <t>Starter → Growth → Enterprise; add niches; add channels (SMS, WhatsApp, Voice)</t>
        </is>
      </c>
      <c r="AO2" s="2" t="inlineStr">
        <is>
          <t>Monthly reporting showing ROI; client portal access; QBRs; dedicated account manager</t>
        </is>
      </c>
    </row>
    <row r="3">
      <c r="A3" s="2" t="inlineStr">
        <is>
          <t>2</t>
        </is>
      </c>
      <c r="B3" s="2" t="inlineStr">
        <is>
          <t>SaaS Entrepreneur</t>
        </is>
      </c>
      <c r="C3" s="2" t="inlineStr">
        <is>
          <t>White-Label SaaS Builder</t>
        </is>
      </c>
      <c r="D3" s="2" t="inlineStr">
        <is>
          <t>Solo or small team</t>
        </is>
      </c>
      <c r="E3" s="2" t="inlineStr">
        <is>
          <t>Custom-built or Zapier-glued stack</t>
        </is>
      </c>
      <c r="F3" s="2" t="inlineStr">
        <is>
          <t>White-Label SaaS</t>
        </is>
      </c>
      <c r="G3" s="2" t="inlineStr">
        <is>
          <t>$99–$499/mo per end-user</t>
        </is>
      </c>
      <c r="H3" s="2" t="inlineStr">
        <is>
          <t>High CAC; long sales cycles; low trial conversion; no product-led growth; churn from poor onboarding; feature parity race with competitors</t>
        </is>
      </c>
      <c r="I3" s="2" t="inlineStr">
        <is>
          <t>White-Label Enterprise</t>
        </is>
      </c>
      <c r="J3" s="2" t="inlineStr">
        <is>
          <t>$0</t>
        </is>
      </c>
      <c r="K3" s="2" t="inlineStr">
        <is>
          <t>$499/mo</t>
        </is>
      </c>
      <c r="L3" s="2" t="inlineStr">
        <is>
          <t>lead-magnet</t>
        </is>
      </c>
      <c r="M3" s="2" t="inlineStr">
        <is>
          <t>continuity</t>
        </is>
      </c>
      <c r="N3" s="2" t="inlineStr">
        <is>
          <t>SaaS Growth Assessment</t>
        </is>
      </c>
      <c r="O3" s="2" t="inlineStr">
        <is>
          <t>tool (Free trial / freemium access)</t>
        </is>
      </c>
      <c r="P3" s="2" t="inlineStr">
        <is>
          <t>7 stages (0,2,5,10,14,21,30 days)</t>
        </is>
      </c>
      <c r="Q3" s="2" t="inlineStr">
        <is>
          <t>0.30 / 0.20 / 0.30 / 0.20</t>
        </is>
      </c>
      <c r="R3" s="2" t="inlineStr">
        <is>
          <t>Stripe (billing), Brizy (page builder), Formbricks (forms), LangChain (AI), Umami (analytics)</t>
        </is>
      </c>
      <c r="S3" s="2" t="inlineStr">
        <is>
          <t>Home, Leads, Billing, Experiments, Scoring, Analytics, Settings, Marketplace</t>
        </is>
      </c>
      <c r="T3" s="2" t="inlineStr">
        <is>
          <t>Software Company</t>
        </is>
      </c>
      <c r="U3" s="2" t="inlineStr">
        <is>
          <t>SaaS Platform</t>
        </is>
      </c>
      <c r="V3" s="2" t="inlineStr">
        <is>
          <t>National/Global</t>
        </is>
      </c>
      <c r="W3" s="2" t="inlineStr">
        <is>
          <t>Product-Led Growth Site</t>
        </is>
      </c>
      <c r="X3" s="2" t="inlineStr">
        <is>
          <t>yourbrand.com (custom domain white-label)</t>
        </is>
      </c>
      <c r="Y3" s="2" t="inlineStr">
        <is>
          <t>Launch your own lead generation SaaS — zero code, full brand control.</t>
        </is>
      </c>
      <c r="Z3" s="2" t="inlineStr">
        <is>
          <t>Start Free Trial</t>
        </is>
      </c>
      <c r="AA3" s="2" t="inlineStr">
        <is>
          <t>100+ SaaS builders; instant white-label deploy; Stripe billing built-in</t>
        </is>
      </c>
      <c r="AB3" s="2" t="inlineStr">
        <is>
          <t>Product demos; founder testimonials; feature comparison vs. building custom</t>
        </is>
      </c>
      <c r="AC3" s="2" t="inlineStr">
        <is>
          <t>white label lead generation saas, build your own crm platform, saas lead scoring software</t>
        </is>
      </c>
      <c r="AD3" s="2" t="inlineStr">
        <is>
          <t>Product-led content: tutorials, API docs, integration guides, comparison pages</t>
        </is>
      </c>
      <c r="AE3" s="2" t="inlineStr">
        <is>
          <t>SaaS Growth, Product-Led Growth, Lead Scoring, Automation Platforms</t>
        </is>
      </c>
      <c r="AF3" s="2" t="inlineStr">
        <is>
          <t>Software as a Service, Technology Platform, Lead Management Software</t>
        </is>
      </c>
      <c r="AG3" s="2" t="inlineStr">
        <is>
          <t>#0A1628 (Navy)</t>
        </is>
      </c>
      <c r="AH3" s="2" t="inlineStr">
        <is>
          <t>#1E3A5F (Steel Blue)</t>
        </is>
      </c>
      <c r="AI3" s="2" t="inlineStr">
        <is>
          <t>#00D4AA (Mint)</t>
        </is>
      </c>
      <c r="AJ3" s="2" t="inlineStr">
        <is>
          <t>Space Grotesk</t>
        </is>
      </c>
      <c r="AK3" s="2" t="inlineStr">
        <is>
          <t>Inter</t>
        </is>
      </c>
      <c r="AL3" s="2" t="inlineStr">
        <is>
          <t>Modern, Technical, Innovative</t>
        </is>
      </c>
      <c r="AM3" s="2" t="inlineStr">
        <is>
          <t>Monthly SaaS subscription; usage-based overages; marketplace commission</t>
        </is>
      </c>
      <c r="AN3" s="2" t="inlineStr">
        <is>
          <t>Starter → Growth → Enterprise; add marketplace access; custom integrations</t>
        </is>
      </c>
      <c r="AO3" s="2" t="inlineStr">
        <is>
          <t>In-app onboarding; activation milestones; health scoring; churn prediction alerts</t>
        </is>
      </c>
    </row>
    <row r="4">
      <c r="A4" s="2" t="inlineStr">
        <is>
          <t>3</t>
        </is>
      </c>
      <c r="B4" s="2" t="inlineStr">
        <is>
          <t>Lead Gen Company Owner</t>
        </is>
      </c>
      <c r="C4" s="2" t="inlineStr">
        <is>
          <t>Lead Generation Business</t>
        </is>
      </c>
      <c r="D4" s="2" t="inlineStr">
        <is>
          <t>5–20 people</t>
        </is>
      </c>
      <c r="E4" s="2" t="inlineStr">
        <is>
          <t>Scattered lead sources, manual qualification</t>
        </is>
      </c>
      <c r="F4" s="2" t="inlineStr">
        <is>
          <t>Lead Marketplace</t>
        </is>
      </c>
      <c r="G4" s="2" t="inlineStr">
        <is>
          <t>$25–$500 per lead by temperature</t>
        </is>
      </c>
      <c r="H4" s="2" t="inlineStr">
        <is>
          <t>Lead quality inconsistency; no scoring system; manual matching; no outcome tracking; lead fraud; pricing by gut not data</t>
        </is>
      </c>
      <c r="I4" s="2" t="inlineStr">
        <is>
          <t>Managed Enterprise</t>
        </is>
      </c>
      <c r="J4" s="2" t="inlineStr">
        <is>
          <t>$15,000</t>
        </is>
      </c>
      <c r="K4" s="2" t="inlineStr">
        <is>
          <t>$10,000/mo</t>
        </is>
      </c>
      <c r="L4" s="2" t="inlineStr">
        <is>
          <t>checkout</t>
        </is>
      </c>
      <c r="M4" s="2" t="inlineStr">
        <is>
          <t>qualification</t>
        </is>
      </c>
      <c r="N4" s="2" t="inlineStr">
        <is>
          <t>Lead Quality Assessment</t>
        </is>
      </c>
      <c r="O4" s="2" t="inlineStr">
        <is>
          <t>quiz_assessment (Lead Quality Diagnostic)</t>
        </is>
      </c>
      <c r="P4" s="2" t="inlineStr">
        <is>
          <t>7 stages (0,2,5,10,14,21,30 days)</t>
        </is>
      </c>
      <c r="Q4" s="2" t="inlineStr">
        <is>
          <t>0.35 / 0.25 / 0.20 / 0.20</t>
        </is>
      </c>
      <c r="R4" s="2" t="inlineStr">
        <is>
          <t>Firecrawl (scraping), n8n (automation), SalesNexus (CRM), Activepieces (workflows), Sinosend (email)</t>
        </is>
      </c>
      <c r="S4" s="2" t="inlineStr">
        <is>
          <t>Home, Marketplace, Leads, Scoring, Pipeline, Distribution, Revenue, Experiments, Prospects</t>
        </is>
      </c>
      <c r="T4" s="2" t="inlineStr">
        <is>
          <t>Lead Generation Service</t>
        </is>
      </c>
      <c r="U4" s="2" t="inlineStr">
        <is>
          <t>Qualified Business Leads</t>
        </is>
      </c>
      <c r="V4" s="2" t="inlineStr">
        <is>
          <t>National</t>
        </is>
      </c>
      <c r="W4" s="2" t="inlineStr">
        <is>
          <t>Marketplace + Authority</t>
        </is>
      </c>
      <c r="X4" s="2" t="inlineStr">
        <is>
          <t>leadmarketplace.com or yourbrand-leads.com</t>
        </is>
      </c>
      <c r="Y4" s="2" t="inlineStr">
        <is>
          <t>Buy and sell pre-qualified leads with real-time scoring and outcome tracking.</t>
        </is>
      </c>
      <c r="Z4" s="2" t="inlineStr">
        <is>
          <t>Browse Available Leads</t>
        </is>
      </c>
      <c r="AA4" s="2" t="inlineStr">
        <is>
          <t>Marketplace volume metrics; buyer satisfaction; lead temperature scoring proof</t>
        </is>
      </c>
      <c r="AB4" s="2" t="inlineStr">
        <is>
          <t>Live marketplace stats; buyer testimonials; lead quality guarantees</t>
        </is>
      </c>
      <c r="AC4" s="2" t="inlineStr">
        <is>
          <t>buy qualified leads, lead marketplace platform, business lead scoring, lead generation service</t>
        </is>
      </c>
      <c r="AD4" s="2" t="inlineStr">
        <is>
          <t>Lead quality guides; industry-specific lead buying guides; ROI of scored vs unscored leads</t>
        </is>
      </c>
      <c r="AE4" s="2" t="inlineStr">
        <is>
          <t>Lead Marketplace, Lead Scoring, Business Development, Sales Pipeline</t>
        </is>
      </c>
      <c r="AF4" s="2" t="inlineStr">
        <is>
          <t>Lead Generation, Business Services, Sales Leads, Marketing Services</t>
        </is>
      </c>
      <c r="AG4" s="2" t="inlineStr">
        <is>
          <t>#14213D (Midnight)</t>
        </is>
      </c>
      <c r="AH4" s="2" t="inlineStr">
        <is>
          <t>#FCA311 (Gold)</t>
        </is>
      </c>
      <c r="AI4" s="2" t="inlineStr">
        <is>
          <t>#E5E5E5 (Silver)</t>
        </is>
      </c>
      <c r="AJ4" s="2" t="inlineStr">
        <is>
          <t>Poppins</t>
        </is>
      </c>
      <c r="AK4" s="2" t="inlineStr">
        <is>
          <t>Source Sans Pro</t>
        </is>
      </c>
      <c r="AL4" s="2" t="inlineStr">
        <is>
          <t>Bold, Transactional, Trustworthy</t>
        </is>
      </c>
      <c r="AM4" s="2" t="inlineStr">
        <is>
          <t>Per-lead pricing by temperature (cold $25, warm $50, hot $100, burning $200); subscription for volume buyers</t>
        </is>
      </c>
      <c r="AN4" s="2" t="inlineStr">
        <is>
          <t>Volume discounts; exclusive territories; priority access; outcome-based pricing</t>
        </is>
      </c>
      <c r="AO4" s="2" t="inlineStr">
        <is>
          <t>Outcome reporting; quality scoring; buyer/seller ratings; dispute resolution</t>
        </is>
      </c>
    </row>
    <row r="5">
      <c r="A5" s="2" t="inlineStr">
        <is>
          <t>4</t>
        </is>
      </c>
      <c r="B5" s="2" t="inlineStr">
        <is>
          <t>Consultant / Implementer</t>
        </is>
      </c>
      <c r="C5" s="2" t="inlineStr">
        <is>
          <t>Technology Consultant</t>
        </is>
      </c>
      <c r="D5" s="2" t="inlineStr">
        <is>
          <t>Solo or boutique firm</t>
        </is>
      </c>
      <c r="E5" s="2" t="inlineStr">
        <is>
          <t>Client-by-client custom stack</t>
        </is>
      </c>
      <c r="F5" s="2" t="inlineStr">
        <is>
          <t>Implementation + Retainer</t>
        </is>
      </c>
      <c r="G5" s="2" t="inlineStr">
        <is>
          <t>$5K–$25K setup + $1K–$5K/mo retainer</t>
        </is>
      </c>
      <c r="H5" s="2" t="inlineStr">
        <is>
          <t>Over-reliance on referrals; feast-or-famine pipeline; scope creep; difficulty demonstrating ROI; client churn after implementation</t>
        </is>
      </c>
      <c r="I5" s="2" t="inlineStr">
        <is>
          <t>Implementation + Retainer</t>
        </is>
      </c>
      <c r="J5" s="2" t="inlineStr">
        <is>
          <t>Custom</t>
        </is>
      </c>
      <c r="K5" s="2" t="inlineStr">
        <is>
          <t>Custom</t>
        </is>
      </c>
      <c r="L5" s="2" t="inlineStr">
        <is>
          <t>authority</t>
        </is>
      </c>
      <c r="M5" s="2" t="inlineStr">
        <is>
          <t>referral</t>
        </is>
      </c>
      <c r="N5" s="2" t="inlineStr">
        <is>
          <t>Implementation Readiness Assessment</t>
        </is>
      </c>
      <c r="O5" s="2" t="inlineStr">
        <is>
          <t>personalized_service (Free Strategy Session)</t>
        </is>
      </c>
      <c r="P5" s="2" t="inlineStr">
        <is>
          <t>7 stages (0,2,5,10,14,21,30 days)</t>
        </is>
      </c>
      <c r="Q5" s="2" t="inlineStr">
        <is>
          <t>0.25 / 0.30 / 0.20 / 0.25</t>
        </is>
      </c>
      <c r="R5" s="2" t="inlineStr">
        <is>
          <t>SuiteDash (CRM + portal), GrapesJS (page builder), n8n (automation), Sinosend (email), Thoughtly (voice)</t>
        </is>
      </c>
      <c r="S5" s="2" t="inlineStr">
        <is>
          <t>Home, Leads, Pipeline, Documents, Bookings, Workflows, Revenue, Creative, Providers, Credentials</t>
        </is>
      </c>
      <c r="T5" s="2" t="inlineStr">
        <is>
          <t>Business Consultant</t>
        </is>
      </c>
      <c r="U5" s="2" t="inlineStr">
        <is>
          <t>Business Process Automation</t>
        </is>
      </c>
      <c r="V5" s="2" t="inlineStr">
        <is>
          <t>Service area (regional)</t>
        </is>
      </c>
      <c r="W5" s="2" t="inlineStr">
        <is>
          <t>Authority + Portfolio</t>
        </is>
      </c>
      <c r="X5" s="2" t="inlineStr">
        <is>
          <t>yourbrand-consulting.com</t>
        </is>
      </c>
      <c r="Y5" s="2" t="inlineStr">
        <is>
          <t>We implement the lead systems other consultants just recommend.</t>
        </is>
      </c>
      <c r="Z5" s="2" t="inlineStr">
        <is>
          <t>Book a Discovery Call</t>
        </is>
      </c>
      <c r="AA5" s="2" t="inlineStr">
        <is>
          <t>Client portfolio; implementation case studies; certified partner badges</t>
        </is>
      </c>
      <c r="AB5" s="2" t="inlineStr">
        <is>
          <t>Detailed case studies with metrics; methodology documentation; partner certifications</t>
        </is>
      </c>
      <c r="AC5" s="2" t="inlineStr">
        <is>
          <t>lead generation consultant, business automation implementer, crm implementation services</t>
        </is>
      </c>
      <c r="AD5" s="2" t="inlineStr">
        <is>
          <t>Thought leadership: implementation methodology, case studies, industry insights, white papers</t>
        </is>
      </c>
      <c r="AE5" s="2" t="inlineStr">
        <is>
          <t>Business Consulting, Technology Implementation, CRM Setup, Process Automation</t>
        </is>
      </c>
      <c r="AF5" s="2" t="inlineStr">
        <is>
          <t>Business Consulting, IT Services, Management Consulting, Technology Consulting</t>
        </is>
      </c>
      <c r="AG5" s="2" t="inlineStr">
        <is>
          <t>#264653 (Deep Teal)</t>
        </is>
      </c>
      <c r="AH5" s="2" t="inlineStr">
        <is>
          <t>#2A9D8F (Teal)</t>
        </is>
      </c>
      <c r="AI5" s="2" t="inlineStr">
        <is>
          <t>#E9C46A (Warm Gold)</t>
        </is>
      </c>
      <c r="AJ5" s="2" t="inlineStr">
        <is>
          <t>Playfair Display</t>
        </is>
      </c>
      <c r="AK5" s="2" t="inlineStr">
        <is>
          <t>Lato</t>
        </is>
      </c>
      <c r="AL5" s="2" t="inlineStr">
        <is>
          <t>Authoritative, Elegant, Consultative</t>
        </is>
      </c>
      <c r="AM5" s="2" t="inlineStr">
        <is>
          <t>Setup fee + monthly retainer; project-based implementation; upsell to managed services</t>
        </is>
      </c>
      <c r="AN5" s="2" t="inlineStr">
        <is>
          <t>Implementation → Retainer → Managed Service; add niches; multi-location rollout</t>
        </is>
      </c>
      <c r="AO5" s="2" t="inlineStr">
        <is>
          <t>Monthly strategy calls; quarterly reviews; client portal with real-time dashboards</t>
        </is>
      </c>
    </row>
    <row r="6">
      <c r="A6" s="2" t="inlineStr">
        <is>
          <t>5</t>
        </is>
      </c>
      <c r="B6" s="2" t="inlineStr">
        <is>
          <t>Franchise Network Operator</t>
        </is>
      </c>
      <c r="C6" s="2" t="inlineStr">
        <is>
          <t>Multi-Location Franchise</t>
        </is>
      </c>
      <c r="D6" s="2" t="inlineStr">
        <is>
          <t>50+ locations</t>
        </is>
      </c>
      <c r="E6" s="2" t="inlineStr">
        <is>
          <t>Disconnected per-location tools; no central dashboard</t>
        </is>
      </c>
      <c r="F6" s="2" t="inlineStr">
        <is>
          <t>Multi-Territory</t>
        </is>
      </c>
      <c r="G6" s="2" t="inlineStr">
        <is>
          <t>$2K–$6K/mo per territory + setup</t>
        </is>
      </c>
      <c r="H6" s="2" t="inlineStr">
        <is>
          <t>Brand inconsistency across locations; no centralized lead routing; slow franchisee onboarding; no performance benchmarking; compliance enforcement gaps</t>
        </is>
      </c>
      <c r="I6" s="2" t="inlineStr">
        <is>
          <t>Managed Enterprise</t>
        </is>
      </c>
      <c r="J6" s="2" t="inlineStr">
        <is>
          <t>$15,000</t>
        </is>
      </c>
      <c r="K6" s="2" t="inlineStr">
        <is>
          <t>$10,000/mo</t>
        </is>
      </c>
      <c r="L6" s="2" t="inlineStr">
        <is>
          <t>qualification</t>
        </is>
      </c>
      <c r="M6" s="2" t="inlineStr">
        <is>
          <t>retention</t>
        </is>
      </c>
      <c r="N6" s="2" t="inlineStr">
        <is>
          <t>Franchise Operations Assessment</t>
        </is>
      </c>
      <c r="O6" s="2" t="inlineStr">
        <is>
          <t>report_insight (Franchise Performance Benchmark)</t>
        </is>
      </c>
      <c r="P6" s="2" t="inlineStr">
        <is>
          <t>7 stages (0,2,5,10,14,21,30 days)</t>
        </is>
      </c>
      <c r="Q6" s="2" t="inlineStr">
        <is>
          <t>0.25 / 0.35 / 0.20 / 0.20</t>
        </is>
      </c>
      <c r="R6" s="2" t="inlineStr">
        <is>
          <t>SuiteDash (multi-tenant CRM), n8n (automation), Activepieces (workflows), Sinosend (email), EasyText (SMS)</t>
        </is>
      </c>
      <c r="S6" s="2" t="inlineStr">
        <is>
          <t>Home, Tenants, Leads, Analytics, Distribution, Experiments, Scoring, Providers, Health, Settings</t>
        </is>
      </c>
      <c r="T6" s="2" t="inlineStr">
        <is>
          <t>Franchise</t>
        </is>
      </c>
      <c r="U6" s="2" t="inlineStr">
        <is>
          <t>Franchise Development</t>
        </is>
      </c>
      <c r="V6" s="2" t="inlineStr">
        <is>
          <t>Multi-territory (national)</t>
        </is>
      </c>
      <c r="W6" s="2" t="inlineStr">
        <is>
          <t>Multi-Tenant Platform + Directory</t>
        </is>
      </c>
      <c r="X6" s="2" t="inlineStr">
        <is>
          <t>franchisebrand-leads.com</t>
        </is>
      </c>
      <c r="Y6" s="2" t="inlineStr">
        <is>
          <t>One platform. Every location. Total brand control with local lead performance.</t>
        </is>
      </c>
      <c r="Z6" s="2" t="inlineStr">
        <is>
          <t>Request a Franchise Demo</t>
        </is>
      </c>
      <c r="AA6" s="2" t="inlineStr">
        <is>
          <t>50+ franchise systems; territory-level analytics; brand compliance automation</t>
        </is>
      </c>
      <c r="AB6" s="2" t="inlineStr">
        <is>
          <t>Franchise case studies; location count metrics; performance benchmarks</t>
        </is>
      </c>
      <c r="AC6" s="2" t="inlineStr">
        <is>
          <t>franchise lead management, multi-location crm, franchise marketing automation platform</t>
        </is>
      </c>
      <c r="AD6" s="2" t="inlineStr">
        <is>
          <t>Franchise operations guides; multi-location scaling; brand compliance; territory marketing</t>
        </is>
      </c>
      <c r="AE6" s="2" t="inlineStr">
        <is>
          <t>Franchise Operations, Multi-Location Business, Brand Management, Territory Development</t>
        </is>
      </c>
      <c r="AF6" s="2" t="inlineStr">
        <is>
          <t>Franchise, Business Services, Multi-Location Business, Management Services</t>
        </is>
      </c>
      <c r="AG6" s="2" t="inlineStr">
        <is>
          <t>#003049 (Navy)</t>
        </is>
      </c>
      <c r="AH6" s="2" t="inlineStr">
        <is>
          <t>#D62828 (Brand Red)</t>
        </is>
      </c>
      <c r="AI6" s="2" t="inlineStr">
        <is>
          <t>#F77F00 (Franchise Orange)</t>
        </is>
      </c>
      <c r="AJ6" s="2" t="inlineStr">
        <is>
          <t>Montserrat</t>
        </is>
      </c>
      <c r="AK6" s="2" t="inlineStr">
        <is>
          <t>Open Sans</t>
        </is>
      </c>
      <c r="AL6" s="2" t="inlineStr">
        <is>
          <t>Corporate, Scalable, Unified</t>
        </is>
      </c>
      <c r="AM6" s="2" t="inlineStr">
        <is>
          <t>Per-territory monthly fee; setup fee; performance-based bonuses; marketplace access for lead redistribution</t>
        </is>
      </c>
      <c r="AN6" s="2" t="inlineStr">
        <is>
          <t>Add territories; upgrade tiers; add channels; marketplace for cross-territory leads</t>
        </is>
      </c>
      <c r="AO6" s="2" t="inlineStr">
        <is>
          <t>Territory benchmarking; franchisee leaderboards; automated compliance checks; QBRs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s>
  <sheetData>
    <row r="1">
      <c r="A1" s="1" t="inlineStr">
        <is>
          <t>Service #</t>
        </is>
      </c>
      <c r="B1" s="1" t="inlineStr">
        <is>
          <t>Service Name</t>
        </is>
      </c>
      <c r="C1" s="1" t="inlineStr">
        <is>
          <t>Slug</t>
        </is>
      </c>
      <c r="D1" s="1" t="inlineStr">
        <is>
          <t>Price Range</t>
        </is>
      </c>
      <c r="E1" s="1" t="inlineStr">
        <is>
          <t>Category</t>
        </is>
      </c>
      <c r="F1" s="1" t="inlineStr">
        <is>
          <t>Overview</t>
        </is>
      </c>
      <c r="G1" s="1" t="inlineStr">
        <is>
          <t>Deliverables</t>
        </is>
      </c>
      <c r="H1" s="1" t="inlineStr">
        <is>
          <t>Feature 1</t>
        </is>
      </c>
      <c r="I1" s="1" t="inlineStr">
        <is>
          <t>Feature 2</t>
        </is>
      </c>
      <c r="J1" s="1" t="inlineStr">
        <is>
          <t>Feature 3</t>
        </is>
      </c>
      <c r="K1" s="1" t="inlineStr">
        <is>
          <t>Feature 4</t>
        </is>
      </c>
      <c r="L1" s="1" t="inlineStr">
        <is>
          <t>Feature 5</t>
        </is>
      </c>
      <c r="M1" s="1" t="inlineStr">
        <is>
          <t>Feature 6</t>
        </is>
      </c>
      <c r="N1" s="1" t="inlineStr">
        <is>
          <t>Timeline Range</t>
        </is>
      </c>
      <c r="O1" s="1" t="inlineStr">
        <is>
          <t>Ideal Client Profile</t>
        </is>
      </c>
      <c r="P1" s="1" t="inlineStr">
        <is>
          <t>Ideal Client Details</t>
        </is>
      </c>
      <c r="Q1" s="1" t="inlineStr">
        <is>
          <t>Tier 1 Name</t>
        </is>
      </c>
      <c r="R1" s="1" t="inlineStr">
        <is>
          <t>Tier 1 Price</t>
        </is>
      </c>
      <c r="S1" s="1" t="inlineStr">
        <is>
          <t>Tier 2 Name</t>
        </is>
      </c>
      <c r="T1" s="1" t="inlineStr">
        <is>
          <t>Tier 2 Price</t>
        </is>
      </c>
      <c r="U1" s="1" t="inlineStr">
        <is>
          <t>Tier 3 Name</t>
        </is>
      </c>
      <c r="V1" s="1" t="inlineStr">
        <is>
          <t>Tier 3 Price</t>
        </is>
      </c>
      <c r="W1" s="1" t="inlineStr">
        <is>
          <t>GMB Category</t>
        </is>
      </c>
      <c r="X1" s="1" t="inlineStr">
        <is>
          <t>GMB Description (750 char)</t>
        </is>
      </c>
      <c r="Y1" s="1" t="inlineStr">
        <is>
          <t>GMB Services List</t>
        </is>
      </c>
      <c r="Z1" s="1" t="inlineStr">
        <is>
          <t>SEO Title Tag</t>
        </is>
      </c>
      <c r="AA1" s="1" t="inlineStr">
        <is>
          <t>SEO Meta Description</t>
        </is>
      </c>
      <c r="AB1" s="1" t="inlineStr">
        <is>
          <t>SEO Primary Keywords</t>
        </is>
      </c>
      <c r="AC1" s="1" t="inlineStr">
        <is>
          <t>SEO Secondary Keywords</t>
        </is>
      </c>
      <c r="AD1" s="1" t="inlineStr">
        <is>
          <t>Website Page Structure</t>
        </is>
      </c>
      <c r="AE1" s="1" t="inlineStr">
        <is>
          <t>Hero Headline</t>
        </is>
      </c>
      <c r="AF1" s="1" t="inlineStr">
        <is>
          <t>Hero Subheadline</t>
        </is>
      </c>
      <c r="AG1" s="1" t="inlineStr">
        <is>
          <t>Primary CTA</t>
        </is>
      </c>
      <c r="AH1" s="1" t="inlineStr">
        <is>
          <t>Trust Signals</t>
        </is>
      </c>
      <c r="AI1" s="1" t="inlineStr">
        <is>
          <t>Social Proof Elements</t>
        </is>
      </c>
      <c r="AJ1" s="1" t="inlineStr">
        <is>
          <t>Authority Content Topics</t>
        </is>
      </c>
      <c r="AK1" s="1" t="inlineStr">
        <is>
          <t>Lead Magnet for This Service</t>
        </is>
      </c>
      <c r="AL1" s="1" t="inlineStr">
        <is>
          <t>Design Accent Color</t>
        </is>
      </c>
      <c r="AM1" s="1" t="inlineStr">
        <is>
          <t>Icon/Visual Theme</t>
        </is>
      </c>
      <c r="AN1" s="1" t="inlineStr">
        <is>
          <t>Upsell Path</t>
        </is>
      </c>
      <c r="AO1" s="1" t="inlineStr">
        <is>
          <t>Cross-Sell Services</t>
        </is>
      </c>
    </row>
    <row r="2">
      <c r="A2" s="2" t="inlineStr">
        <is>
          <t>1</t>
        </is>
      </c>
      <c r="B2" s="2" t="inlineStr">
        <is>
          <t>Client Portal Automation</t>
        </is>
      </c>
      <c r="C2" s="2" t="inlineStr">
        <is>
          <t>client-portal</t>
        </is>
      </c>
      <c r="D2" s="2" t="inlineStr">
        <is>
          <t>$5K–$25K</t>
        </is>
      </c>
      <c r="E2" s="2" t="inlineStr">
        <is>
          <t>Core</t>
        </is>
      </c>
      <c r="F2" s="2" t="inlineStr">
        <is>
          <t>White-labeled portals with CRM, PM, invoicing, file sharing, scheduling, LMS</t>
        </is>
      </c>
      <c r="G2" s="2" t="inlineStr">
        <is>
          <t>Custom domain + SSL; Branded design; Role-based dashboards; Client onboarding flow; Secure file vault; Integrated scheduling; Multi-channel notifications; Mobile-responsive</t>
        </is>
      </c>
      <c r="H2" s="2" t="inlineStr">
        <is>
          <t>White-Label Branding</t>
        </is>
      </c>
      <c r="I2" s="2" t="inlineStr">
        <is>
          <t>CRM Integration</t>
        </is>
      </c>
      <c r="J2" s="2" t="inlineStr">
        <is>
          <t>Project Management</t>
        </is>
      </c>
      <c r="K2" s="2" t="inlineStr">
        <is>
          <t>Invoicing &amp; Payments</t>
        </is>
      </c>
      <c r="L2" s="2" t="inlineStr">
        <is>
          <t>File Sharing &amp; Vault</t>
        </is>
      </c>
      <c r="M2" s="2" t="inlineStr">
        <is>
          <t>LMS Module</t>
        </is>
      </c>
      <c r="N2" s="2" t="inlineStr">
        <is>
          <t>4–8 weeks</t>
        </is>
      </c>
      <c r="O2" s="2" t="inlineStr">
        <is>
          <t>Service businesses, consultancies, agencies wanting branded client experience</t>
        </is>
      </c>
      <c r="P2" s="2" t="inlineStr">
        <is>
          <t>5+ active clients; manual client communication; no centralized project tracking; brand-conscious</t>
        </is>
      </c>
      <c r="Q2" s="2" t="inlineStr">
        <is>
          <t>Starter</t>
        </is>
      </c>
      <c r="R2" s="2" t="inlineStr">
        <is>
          <t>$5,000</t>
        </is>
      </c>
      <c r="S2" s="2" t="inlineStr">
        <is>
          <t>Growth</t>
        </is>
      </c>
      <c r="T2" s="2" t="inlineStr">
        <is>
          <t>$15,000</t>
        </is>
      </c>
      <c r="U2" s="2" t="inlineStr">
        <is>
          <t>Scale</t>
        </is>
      </c>
      <c r="V2" s="2" t="inlineStr">
        <is>
          <t>$25,000</t>
        </is>
      </c>
      <c r="W2" s="2" t="inlineStr">
        <is>
          <t>Business Management Consultant</t>
        </is>
      </c>
      <c r="X2" s="2" t="inlineStr">
        <is>
          <t>Custom client portals with CRM, project management, invoicing, and file sharing. White-labeled to your brand. Mobile-responsive with role-based access for clients, staff, and admins.</t>
        </is>
      </c>
      <c r="Y2" s="2" t="inlineStr">
        <is>
          <t>Client Portal Setup, CRM Integration, Project Management Platform, Invoicing System, File Sharing, LMS Setup, Client Onboarding</t>
        </is>
      </c>
      <c r="Z2" s="2" t="inlineStr">
        <is>
          <t>Client Portal Automation | Custom Branded Portals | [Brand]</t>
        </is>
      </c>
      <c r="AA2" s="2" t="inlineStr">
        <is>
          <t>Get a white-labeled client portal with CRM, PM, invoicing &amp; file sharing. Branded to your business. Setup in 4-8 weeks.</t>
        </is>
      </c>
      <c r="AB2" s="2" t="inlineStr">
        <is>
          <t>client portal software, white label client portal, branded client dashboard, client management platform</t>
        </is>
      </c>
      <c r="AC2" s="2" t="inlineStr">
        <is>
          <t>custom CRM portal, agency client portal, consulting client portal, SaaS client portal</t>
        </is>
      </c>
      <c r="AD2" s="2" t="inlineStr">
        <is>
          <t>Landing → Features → Pricing → Case Studies → FAQ → CTA</t>
        </is>
      </c>
      <c r="AE2" s="2" t="inlineStr">
        <is>
          <t>Give your clients a branded portal that makes you look 10x your size</t>
        </is>
      </c>
      <c r="AF2" s="2" t="inlineStr">
        <is>
          <t>Stop chasing clients through email threads. Centralize everything in one branded workspace.</t>
        </is>
      </c>
      <c r="AG2" s="2" t="inlineStr">
        <is>
          <t>Book a Portal Walkthrough</t>
        </is>
      </c>
      <c r="AH2" s="2" t="inlineStr">
        <is>
          <t>150+ agencies using portals; 35% churn reduction; 4.8/5 client satisfaction</t>
        </is>
      </c>
      <c r="AI2" s="2" t="inlineStr">
        <is>
          <t>Client portal screenshots; before/after workflow; client testimonials; ROI metrics</t>
        </is>
      </c>
      <c r="AJ2" s="2" t="inlineStr">
        <is>
          <t>Client Experience Design, Portal Best Practices, Agency Operations, Client Retention</t>
        </is>
      </c>
      <c r="AK2" s="2" t="inlineStr">
        <is>
          <t>Free Portal Walkthrough (assessment)</t>
        </is>
      </c>
      <c r="AL2" s="2" t="inlineStr">
        <is>
          <t>#2D6A4F</t>
        </is>
      </c>
      <c r="AM2" s="2" t="inlineStr">
        <is>
          <t>Dashboard/Portal icon</t>
        </is>
      </c>
      <c r="AN2" s="2" t="inlineStr">
        <is>
          <t>Starter → Growth → Scale; add LMS; add invoicing</t>
        </is>
      </c>
      <c r="AO2" s="2" t="inlineStr">
        <is>
          <t>Process Automation, Managed Services</t>
        </is>
      </c>
    </row>
    <row r="3">
      <c r="A3" s="2" t="inlineStr">
        <is>
          <t>2</t>
        </is>
      </c>
      <c r="B3" s="2" t="inlineStr">
        <is>
          <t>Process Automation</t>
        </is>
      </c>
      <c r="C3" s="2" t="inlineStr">
        <is>
          <t>process-automation</t>
        </is>
      </c>
      <c r="D3" s="2" t="inlineStr">
        <is>
          <t>$10K–$50K</t>
        </is>
      </c>
      <c r="E3" s="2" t="inlineStr">
        <is>
          <t>Core</t>
        </is>
      </c>
      <c r="F3" s="2" t="inlineStr">
        <is>
          <t>End-to-end workflow automation: audit, multi-step workflows, error recovery, monitoring</t>
        </is>
      </c>
      <c r="G3" s="2" t="inlineStr">
        <is>
          <t>Process audit; Multi-step workflows; Error recovery; Real-time monitoring; Data transformation; Staff training</t>
        </is>
      </c>
      <c r="H3" s="2" t="inlineStr">
        <is>
          <t>Process Audit</t>
        </is>
      </c>
      <c r="I3" s="2" t="inlineStr">
        <is>
          <t>Multi-Step Workflows</t>
        </is>
      </c>
      <c r="J3" s="2" t="inlineStr">
        <is>
          <t>Error Recovery</t>
        </is>
      </c>
      <c r="K3" s="2" t="inlineStr">
        <is>
          <t>Real-Time Monitoring</t>
        </is>
      </c>
      <c r="L3" s="2" t="inlineStr">
        <is>
          <t>Data Transformation</t>
        </is>
      </c>
      <c r="M3" s="2" t="inlineStr">
        <is>
          <t>Staff Training</t>
        </is>
      </c>
      <c r="N3" s="2" t="inlineStr">
        <is>
          <t>6–12 weeks</t>
        </is>
      </c>
      <c r="O3" s="2" t="inlineStr">
        <is>
          <t>Businesses spending 15+ hrs/wk on manual data entry and repetitive tasks</t>
        </is>
      </c>
      <c r="P3" s="2" t="inlineStr">
        <is>
          <t>15+ hours/week manual processes; data entry errors; no workflow tools; growing team</t>
        </is>
      </c>
      <c r="Q3" s="2" t="inlineStr">
        <is>
          <t>Starter</t>
        </is>
      </c>
      <c r="R3" s="2" t="inlineStr">
        <is>
          <t>$10,000</t>
        </is>
      </c>
      <c r="S3" s="2" t="inlineStr">
        <is>
          <t>Growth</t>
        </is>
      </c>
      <c r="T3" s="2" t="inlineStr">
        <is>
          <t>$25,000</t>
        </is>
      </c>
      <c r="U3" s="2" t="inlineStr">
        <is>
          <t>Scale</t>
        </is>
      </c>
      <c r="V3" s="2" t="inlineStr">
        <is>
          <t>$50,000</t>
        </is>
      </c>
      <c r="W3" s="2" t="inlineStr">
        <is>
          <t>Business Process Consultant</t>
        </is>
      </c>
      <c r="X3" s="2" t="inlineStr">
        <is>
          <t>Custom workflow automation eliminating manual data entry and repetitive tasks. Process audit, multi-step workflows, error recovery, and real-time monitoring included.</t>
        </is>
      </c>
      <c r="Y3" s="2" t="inlineStr">
        <is>
          <t>Process Audit, Workflow Design, Data Entry Automation, Error Recovery Setup, Monitoring Dashboard, Staff Training</t>
        </is>
      </c>
      <c r="Z3" s="2" t="inlineStr">
        <is>
          <t>Process Automation Services | Workflow Optimization | [Brand]</t>
        </is>
      </c>
      <c r="AA3" s="2" t="inlineStr">
        <is>
          <t>Eliminate manual data entry. Custom workflow automation with process audit, error recovery, and real-time monitoring. Save 15+ hours/week.</t>
        </is>
      </c>
      <c r="AB3" s="2" t="inlineStr">
        <is>
          <t>business process automation, workflow automation services, data entry automation, process optimization</t>
        </is>
      </c>
      <c r="AC3" s="2" t="inlineStr">
        <is>
          <t>RPA implementation, business workflow consultant, automation agency, process audit services</t>
        </is>
      </c>
      <c r="AD3" s="2" t="inlineStr">
        <is>
          <t>Landing → Process Audit Offer → Features → ROI Calculator → Case Studies → CTA</t>
        </is>
      </c>
      <c r="AE3" s="2" t="inlineStr">
        <is>
          <t>Stop doing manually what machines can do in seconds</t>
        </is>
      </c>
      <c r="AF3" s="2" t="inlineStr">
        <is>
          <t>We audit your workflows and build automated systems that save 15+ hours per week.</t>
        </is>
      </c>
      <c r="AG3" s="2" t="inlineStr">
        <is>
          <t>Get a Free Process Audit</t>
        </is>
      </c>
      <c r="AH3" s="2" t="inlineStr">
        <is>
          <t>200+ businesses automated; avg 15 hrs/wk saved; 99.9% uptime monitoring</t>
        </is>
      </c>
      <c r="AI3" s="2" t="inlineStr">
        <is>
          <t>Before/after workflow diagrams; hours saved metrics; error rate reductions</t>
        </is>
      </c>
      <c r="AJ3" s="2" t="inlineStr">
        <is>
          <t>Workflow Design, Business Efficiency, Automation ROI, Digital Operations</t>
        </is>
      </c>
      <c r="AK3" s="2" t="inlineStr">
        <is>
          <t>Free Process Audit (assessment)</t>
        </is>
      </c>
      <c r="AL3" s="2" t="inlineStr">
        <is>
          <t>#1B4332</t>
        </is>
      </c>
      <c r="AM3" s="2" t="inlineStr">
        <is>
          <t>Gears/Workflow icon</t>
        </is>
      </c>
      <c r="AN3" s="2" t="inlineStr">
        <is>
          <t>Starter → Growth → Scale; add monitoring; add integrations</t>
        </is>
      </c>
      <c r="AO3" s="2" t="inlineStr">
        <is>
          <t>Systems Integration, Business Intelligence</t>
        </is>
      </c>
    </row>
    <row r="4">
      <c r="A4" s="2" t="inlineStr">
        <is>
          <t>3</t>
        </is>
      </c>
      <c r="B4" s="2" t="inlineStr">
        <is>
          <t>Systems Integration</t>
        </is>
      </c>
      <c r="C4" s="2" t="inlineStr">
        <is>
          <t>systems-integration</t>
        </is>
      </c>
      <c r="D4" s="2" t="inlineStr">
        <is>
          <t>$15K–$60K</t>
        </is>
      </c>
      <c r="E4" s="2" t="inlineStr">
        <is>
          <t>Core</t>
        </is>
      </c>
      <c r="F4" s="2" t="inlineStr">
        <is>
          <t>Connect disconnected tools: system audit, bi-directional sync, custom middleware, migration</t>
        </is>
      </c>
      <c r="G4" s="2" t="inlineStr">
        <is>
          <t>System audit; Bi-directional sync; Custom middleware; Data migration; Monitoring &amp; alerts; Failover protection</t>
        </is>
      </c>
      <c r="H4" s="2" t="inlineStr">
        <is>
          <t>System Audit</t>
        </is>
      </c>
      <c r="I4" s="2" t="inlineStr">
        <is>
          <t>Bi-Directional Sync</t>
        </is>
      </c>
      <c r="J4" s="2" t="inlineStr">
        <is>
          <t>Custom Middleware</t>
        </is>
      </c>
      <c r="K4" s="2" t="inlineStr">
        <is>
          <t>Data Migration</t>
        </is>
      </c>
      <c r="L4" s="2" t="inlineStr">
        <is>
          <t>Monitoring &amp; Alerts</t>
        </is>
      </c>
      <c r="M4" s="2" t="inlineStr">
        <is>
          <t>Failover Protection</t>
        </is>
      </c>
      <c r="N4" s="2" t="inlineStr">
        <is>
          <t>8–16 weeks</t>
        </is>
      </c>
      <c r="O4" s="2" t="inlineStr">
        <is>
          <t>Companies with 5+ disconnected tools causing data silos and manual workarounds</t>
        </is>
      </c>
      <c r="P4" s="2" t="inlineStr">
        <is>
          <t>5+ tools with no integration; duplicate data entry; data inconsistencies; IT bottleneck</t>
        </is>
      </c>
      <c r="Q4" s="2" t="inlineStr">
        <is>
          <t>Starter</t>
        </is>
      </c>
      <c r="R4" s="2" t="inlineStr">
        <is>
          <t>$15,000</t>
        </is>
      </c>
      <c r="S4" s="2" t="inlineStr">
        <is>
          <t>Growth</t>
        </is>
      </c>
      <c r="T4" s="2" t="inlineStr">
        <is>
          <t>$35,000</t>
        </is>
      </c>
      <c r="U4" s="2" t="inlineStr">
        <is>
          <t>Scale</t>
        </is>
      </c>
      <c r="V4" s="2" t="inlineStr">
        <is>
          <t>$60,000</t>
        </is>
      </c>
      <c r="W4" s="2" t="inlineStr">
        <is>
          <t>IT Service Provider</t>
        </is>
      </c>
      <c r="X4" s="2" t="inlineStr">
        <is>
          <t>Connect your disconnected tools with bi-directional sync, custom middleware, and failover protection. System audit and data migration included.</t>
        </is>
      </c>
      <c r="Y4" s="2" t="inlineStr">
        <is>
          <t>System Audit, API Integration, Data Migration, Middleware Development, Monitoring Setup, Failover Configuration</t>
        </is>
      </c>
      <c r="Z4" s="2" t="inlineStr">
        <is>
          <t>Systems Integration Services | API &amp; Data Sync | [Brand]</t>
        </is>
      </c>
      <c r="AA4" s="2" t="inlineStr">
        <is>
          <t>Connect 5+ disconnected tools with bi-directional sync and custom middleware. System audit, migration, and monitoring included.</t>
        </is>
      </c>
      <c r="AB4" s="2" t="inlineStr">
        <is>
          <t>systems integration services, API integration company, data sync automation, middleware development</t>
        </is>
      </c>
      <c r="AC4" s="2" t="inlineStr">
        <is>
          <t>enterprise integration, tool connector service, data migration consultant, iPaaS implementation</t>
        </is>
      </c>
      <c r="AD4" s="2" t="inlineStr">
        <is>
          <t>Landing → System Audit → Architecture Diagram → Case Studies → Pricing → CTA</t>
        </is>
      </c>
      <c r="AE4" s="2" t="inlineStr">
        <is>
          <t>Your tools should talk to each other. We make that happen.</t>
        </is>
      </c>
      <c r="AF4" s="2" t="inlineStr">
        <is>
          <t>End data silos. Connect every tool with bi-directional sync and zero-downtime migration.</t>
        </is>
      </c>
      <c r="AG4" s="2" t="inlineStr">
        <is>
          <t>Get a System Audit</t>
        </is>
      </c>
      <c r="AH4" s="2" t="inlineStr">
        <is>
          <t>500+ integrations built; 99.9% sync reliability; zero-data-loss migration guarantee</t>
        </is>
      </c>
      <c r="AI4" s="2" t="inlineStr">
        <is>
          <t>Architecture diagrams; integration maps; uptime stats; migration case studies</t>
        </is>
      </c>
      <c r="AJ4" s="2" t="inlineStr">
        <is>
          <t>Integration Architecture, API Best Practices, Data Management, System Design</t>
        </is>
      </c>
      <c r="AK4" s="2" t="inlineStr">
        <is>
          <t>Free System Audit (assessment)</t>
        </is>
      </c>
      <c r="AL4" s="2" t="inlineStr">
        <is>
          <t>#264653</t>
        </is>
      </c>
      <c r="AM4" s="2" t="inlineStr">
        <is>
          <t>Connected nodes/API icon</t>
        </is>
      </c>
      <c r="AN4" s="2" t="inlineStr">
        <is>
          <t>Starter → Growth → Scale; add failover; add custom middleware</t>
        </is>
      </c>
      <c r="AO4" s="2" t="inlineStr">
        <is>
          <t>Process Automation, Business Intelligence</t>
        </is>
      </c>
    </row>
    <row r="5">
      <c r="A5" s="2" t="inlineStr">
        <is>
          <t>4</t>
        </is>
      </c>
      <c r="B5" s="2" t="inlineStr">
        <is>
          <t>Training Platform Creation</t>
        </is>
      </c>
      <c r="C5" s="2" t="inlineStr">
        <is>
          <t>training-platform</t>
        </is>
      </c>
      <c r="D5" s="2" t="inlineStr">
        <is>
          <t>$8K–$25K</t>
        </is>
      </c>
      <c r="E5" s="2" t="inlineStr">
        <is>
          <t>Core</t>
        </is>
      </c>
      <c r="F5" s="2" t="inlineStr">
        <is>
          <t>LMS with course builder, assessments, certificates, progress tracking, SCORM support</t>
        </is>
      </c>
      <c r="G5" s="2" t="inlineStr">
        <is>
          <t>Course builder; Assessment engine; Certificate system; Progress tracking; Auto-enrollment; SCORM support</t>
        </is>
      </c>
      <c r="H5" s="2" t="inlineStr">
        <is>
          <t>Course Builder</t>
        </is>
      </c>
      <c r="I5" s="2" t="inlineStr">
        <is>
          <t>Assessment Engine</t>
        </is>
      </c>
      <c r="J5" s="2" t="inlineStr">
        <is>
          <t>Certificate System</t>
        </is>
      </c>
      <c r="K5" s="2" t="inlineStr">
        <is>
          <t>Progress Tracking</t>
        </is>
      </c>
      <c r="L5" s="2" t="inlineStr">
        <is>
          <t>Auto-Enrollment</t>
        </is>
      </c>
      <c r="M5" s="2" t="inlineStr">
        <is>
          <t>SCORM Support</t>
        </is>
      </c>
      <c r="N5" s="2" t="inlineStr">
        <is>
          <t>4–10 weeks</t>
        </is>
      </c>
      <c r="O5" s="2" t="inlineStr">
        <is>
          <t>Organizations needing employee training, certification programs, or client education</t>
        </is>
      </c>
      <c r="P5" s="2" t="inlineStr">
        <is>
          <t>Manual training delivery; no tracking; compliance requirements; onboarding inefficiency</t>
        </is>
      </c>
      <c r="Q5" s="2" t="inlineStr">
        <is>
          <t>Starter</t>
        </is>
      </c>
      <c r="R5" s="2" t="inlineStr">
        <is>
          <t>$8,000</t>
        </is>
      </c>
      <c r="S5" s="2" t="inlineStr">
        <is>
          <t>Growth</t>
        </is>
      </c>
      <c r="T5" s="2" t="inlineStr">
        <is>
          <t>$15,000</t>
        </is>
      </c>
      <c r="U5" s="2" t="inlineStr">
        <is>
          <t>Scale</t>
        </is>
      </c>
      <c r="V5" s="2" t="inlineStr">
        <is>
          <t>$25,000</t>
        </is>
      </c>
      <c r="W5" s="2" t="inlineStr">
        <is>
          <t>Training Center</t>
        </is>
      </c>
      <c r="X5" s="2" t="inlineStr">
        <is>
          <t>Custom training platform with course builder, assessments, certificates, and SCORM support. Progress tracking and auto-enrollment for employees and clients.</t>
        </is>
      </c>
      <c r="Y5" s="2" t="inlineStr">
        <is>
          <t>LMS Setup, Course Design, Assessment Engine, Certificate Generation, SCORM Integration, Auto-Enrollment</t>
        </is>
      </c>
      <c r="Z5" s="2" t="inlineStr">
        <is>
          <t>Training Platform Creation | LMS Development | [Brand]</t>
        </is>
      </c>
      <c r="AA5" s="2" t="inlineStr">
        <is>
          <t>Build a branded training platform with courses, assessments, and certificates. SCORM support and auto-enrollment included.</t>
        </is>
      </c>
      <c r="AB5" s="2" t="inlineStr">
        <is>
          <t>training platform development, custom LMS, employee training software, certification platform</t>
        </is>
      </c>
      <c r="AC5" s="2" t="inlineStr">
        <is>
          <t>corporate training portal, compliance training LMS, online course platform builder</t>
        </is>
      </c>
      <c r="AD5" s="2" t="inlineStr">
        <is>
          <t>Landing → Platform Demo → Features → Course Examples → Pricing → CTA</t>
        </is>
      </c>
      <c r="AE5" s="2" t="inlineStr">
        <is>
          <t>Train your team at scale with a platform that tracks everything</t>
        </is>
      </c>
      <c r="AF5" s="2" t="inlineStr">
        <is>
          <t>Custom LMS with courses, assessments, certificates, and SCORM. Branded to your organization.</t>
        </is>
      </c>
      <c r="AG5" s="2" t="inlineStr">
        <is>
          <t>See a Platform Demo</t>
        </is>
      </c>
      <c r="AH5" s="2" t="inlineStr">
        <is>
          <t>75+ platforms built; 95% completion rates; automated certification</t>
        </is>
      </c>
      <c r="AI5" s="2" t="inlineStr">
        <is>
          <t>Platform screenshots; completion rate stats; certificate examples; student testimonials</t>
        </is>
      </c>
      <c r="AJ5" s="2" t="inlineStr">
        <is>
          <t>Training Design, E-Learning, Compliance Training, Employee Development</t>
        </is>
      </c>
      <c r="AK5" s="2" t="inlineStr">
        <is>
          <t>Free Training Needs Assessment</t>
        </is>
      </c>
      <c r="AL5" s="2" t="inlineStr">
        <is>
          <t>#2A9D8F</t>
        </is>
      </c>
      <c r="AM5" s="2" t="inlineStr">
        <is>
          <t>Graduation cap/Learning icon</t>
        </is>
      </c>
      <c r="AN5" s="2" t="inlineStr">
        <is>
          <t>Starter → Growth → Scale; add SCORM; add compliance tracking</t>
        </is>
      </c>
      <c r="AO5" s="2" t="inlineStr">
        <is>
          <t>Compliance Training, Managed Services</t>
        </is>
      </c>
    </row>
    <row r="6">
      <c r="A6" s="2" t="inlineStr">
        <is>
          <t>5</t>
        </is>
      </c>
      <c r="B6" s="2" t="inlineStr">
        <is>
          <t>Business Intelligence</t>
        </is>
      </c>
      <c r="C6" s="2" t="inlineStr">
        <is>
          <t>business-intelligence</t>
        </is>
      </c>
      <c r="D6" s="2" t="inlineStr">
        <is>
          <t>$12K–$30K</t>
        </is>
      </c>
      <c r="E6" s="2" t="inlineStr">
        <is>
          <t>Core</t>
        </is>
      </c>
      <c r="F6" s="2" t="inlineStr">
        <is>
          <t>KPI frameworks, live dashboards, automated reports, smart alerts, forecasting</t>
        </is>
      </c>
      <c r="G6" s="2" t="inlineStr">
        <is>
          <t>KPI framework design; Live dashboards; Automated reports; Smart alerts; Financial analytics; Forecasting models</t>
        </is>
      </c>
      <c r="H6" s="2" t="inlineStr">
        <is>
          <t>KPI Framework</t>
        </is>
      </c>
      <c r="I6" s="2" t="inlineStr">
        <is>
          <t>Live Dashboards</t>
        </is>
      </c>
      <c r="J6" s="2" t="inlineStr">
        <is>
          <t>Automated Reports</t>
        </is>
      </c>
      <c r="K6" s="2" t="inlineStr">
        <is>
          <t>Smart Alerts</t>
        </is>
      </c>
      <c r="L6" s="2" t="inlineStr">
        <is>
          <t>Financial Analytics</t>
        </is>
      </c>
      <c r="M6" s="2" t="inlineStr">
        <is>
          <t>Forecasting</t>
        </is>
      </c>
      <c r="N6" s="2" t="inlineStr">
        <is>
          <t>6–10 weeks</t>
        </is>
      </c>
      <c r="O6" s="2" t="inlineStr">
        <is>
          <t>Growing businesses lacking visibility into performance, pipeline, and financials</t>
        </is>
      </c>
      <c r="P6" s="2" t="inlineStr">
        <is>
          <t>Decisions based on gut feeling; no real-time data; manual reporting; no forecasting</t>
        </is>
      </c>
      <c r="Q6" s="2" t="inlineStr">
        <is>
          <t>Starter</t>
        </is>
      </c>
      <c r="R6" s="2" t="inlineStr">
        <is>
          <t>$12,000</t>
        </is>
      </c>
      <c r="S6" s="2" t="inlineStr">
        <is>
          <t>Growth</t>
        </is>
      </c>
      <c r="T6" s="2" t="inlineStr">
        <is>
          <t>$20,000</t>
        </is>
      </c>
      <c r="U6" s="2" t="inlineStr">
        <is>
          <t>Scale</t>
        </is>
      </c>
      <c r="V6" s="2" t="inlineStr">
        <is>
          <t>$30,000</t>
        </is>
      </c>
      <c r="W6" s="2" t="inlineStr">
        <is>
          <t>Data Analytics Consultant</t>
        </is>
      </c>
      <c r="X6" s="2" t="inlineStr">
        <is>
          <t>Custom business intelligence with KPI dashboards, automated reports, smart alerts, and financial forecasting. Real-time visibility into performance and pipeline.</t>
        </is>
      </c>
      <c r="Y6" s="2" t="inlineStr">
        <is>
          <t>KPI Design, Dashboard Development, Report Automation, Alert Configuration, Financial Modeling, Forecasting</t>
        </is>
      </c>
      <c r="Z6" s="2" t="inlineStr">
        <is>
          <t>Business Intelligence Services | KPI Dashboards | [Brand]</t>
        </is>
      </c>
      <c r="AA6" s="2" t="inlineStr">
        <is>
          <t>Get real-time dashboards, automated reports, and financial forecasting. Custom KPI frameworks for growing businesses.</t>
        </is>
      </c>
      <c r="AB6" s="2" t="inlineStr">
        <is>
          <t>business intelligence services, KPI dashboard development, automated reporting, financial forecasting</t>
        </is>
      </c>
      <c r="AC6" s="2" t="inlineStr">
        <is>
          <t>BI consultant, data visualization services, business analytics platform, executive dashboard</t>
        </is>
      </c>
      <c r="AD6" s="2" t="inlineStr">
        <is>
          <t>Landing → Dashboard Demo → KPI Framework → Case Studies → Pricing → CTA</t>
        </is>
      </c>
      <c r="AE6" s="2" t="inlineStr">
        <is>
          <t>Stop guessing. Start knowing. Real-time data for every decision.</t>
        </is>
      </c>
      <c r="AF6" s="2" t="inlineStr">
        <is>
          <t>Custom dashboards that show you exactly what is happening in your business, right now.</t>
        </is>
      </c>
      <c r="AG6" s="2" t="inlineStr">
        <is>
          <t>See a Dashboard Demo</t>
        </is>
      </c>
      <c r="AH6" s="2" t="inlineStr">
        <is>
          <t>100+ dashboards built; 40% faster decision-making; real-time alerts</t>
        </is>
      </c>
      <c r="AI6" s="2" t="inlineStr">
        <is>
          <t>Dashboard screenshots; KPI examples; decision-speed metrics; client testimonials</t>
        </is>
      </c>
      <c r="AJ6" s="2" t="inlineStr">
        <is>
          <t>Data-Driven Decision Making, KPI Design, Business Analytics, Forecasting</t>
        </is>
      </c>
      <c r="AK6" s="2" t="inlineStr">
        <is>
          <t>Free KPI Assessment</t>
        </is>
      </c>
      <c r="AL6" s="2" t="inlineStr">
        <is>
          <t>#E76F51</t>
        </is>
      </c>
      <c r="AM6" s="2" t="inlineStr">
        <is>
          <t>Chart/Dashboard icon</t>
        </is>
      </c>
      <c r="AN6" s="2" t="inlineStr">
        <is>
          <t>Starter → Growth → Scale; add forecasting; add financial analytics</t>
        </is>
      </c>
      <c r="AO6" s="2" t="inlineStr">
        <is>
          <t>Systems Integration, Digital Transformation</t>
        </is>
      </c>
    </row>
    <row r="7">
      <c r="A7" s="2" t="inlineStr">
        <is>
          <t>6</t>
        </is>
      </c>
      <c r="B7" s="2" t="inlineStr">
        <is>
          <t>Digital Transformation</t>
        </is>
      </c>
      <c r="C7" s="2" t="inlineStr">
        <is>
          <t>digital-transformation</t>
        </is>
      </c>
      <c r="D7" s="2" t="inlineStr">
        <is>
          <t>$25K–$150K</t>
        </is>
      </c>
      <c r="E7" s="2" t="inlineStr">
        <is>
          <t>Core</t>
        </is>
      </c>
      <c r="F7" s="2" t="inlineStr">
        <is>
          <t>Full technology overhaul: audit, architecture, phased rollout, change management, migration</t>
        </is>
      </c>
      <c r="G7" s="2" t="inlineStr">
        <is>
          <t>Technology audit; Solution architecture; Phased rollout; Change management; Data migration; Post-launch optimization</t>
        </is>
      </c>
      <c r="H7" s="2" t="inlineStr">
        <is>
          <t>Technology Audit</t>
        </is>
      </c>
      <c r="I7" s="2" t="inlineStr">
        <is>
          <t>Solution Architecture</t>
        </is>
      </c>
      <c r="J7" s="2" t="inlineStr">
        <is>
          <t>Phased Rollout</t>
        </is>
      </c>
      <c r="K7" s="2" t="inlineStr">
        <is>
          <t>Change Management</t>
        </is>
      </c>
      <c r="L7" s="2" t="inlineStr">
        <is>
          <t>Data Migration</t>
        </is>
      </c>
      <c r="M7" s="2" t="inlineStr">
        <is>
          <t>Post-Launch Optimization</t>
        </is>
      </c>
      <c r="N7" s="2" t="inlineStr">
        <is>
          <t>12–24 weeks</t>
        </is>
      </c>
      <c r="O7" s="2" t="inlineStr">
        <is>
          <t>Established businesses running on spreadsheets or legacy systems needing modernization</t>
        </is>
      </c>
      <c r="P7" s="2" t="inlineStr">
        <is>
          <t>Legacy systems; spreadsheet-dependent; scaling bottleneck; staff resistance to change</t>
        </is>
      </c>
      <c r="Q7" s="2" t="inlineStr">
        <is>
          <t>Starter</t>
        </is>
      </c>
      <c r="R7" s="2" t="inlineStr">
        <is>
          <t>$25,000</t>
        </is>
      </c>
      <c r="S7" s="2" t="inlineStr">
        <is>
          <t>Growth</t>
        </is>
      </c>
      <c r="T7" s="2" t="inlineStr">
        <is>
          <t>$75,000</t>
        </is>
      </c>
      <c r="U7" s="2" t="inlineStr">
        <is>
          <t>Scale</t>
        </is>
      </c>
      <c r="V7" s="2" t="inlineStr">
        <is>
          <t>$150,000</t>
        </is>
      </c>
      <c r="W7" s="2" t="inlineStr">
        <is>
          <t>IT Consultant</t>
        </is>
      </c>
      <c r="X7" s="2" t="inlineStr">
        <is>
          <t>End-to-end digital transformation from technology audit through phased rollout and change management. Modernize legacy systems with zero business disruption.</t>
        </is>
      </c>
      <c r="Y7" s="2" t="inlineStr">
        <is>
          <t>Technology Audit, Architecture Design, System Migration, Change Management, Staff Training, Optimization</t>
        </is>
      </c>
      <c r="Z7" s="2" t="inlineStr">
        <is>
          <t>Digital Transformation Services | Legacy Modernization | [Brand]</t>
        </is>
      </c>
      <c r="AA7" s="2" t="inlineStr">
        <is>
          <t>Modernize your business from spreadsheets to automated systems. Technology audit, phased rollout, and change management included.</t>
        </is>
      </c>
      <c r="AB7" s="2" t="inlineStr">
        <is>
          <t>digital transformation services, legacy system modernization, business technology upgrade, enterprise modernization</t>
        </is>
      </c>
      <c r="AC7" s="2" t="inlineStr">
        <is>
          <t>digital transformation consultant, IT modernization, cloud migration services, change management</t>
        </is>
      </c>
      <c r="AD7" s="2" t="inlineStr">
        <is>
          <t>Landing → Transformation Assessment → Roadmap → Case Studies → Pricing → CTA</t>
        </is>
      </c>
      <c r="AE7" s="2" t="inlineStr">
        <is>
          <t>Your business has outgrown its tools. Time to build the system it deserves.</t>
        </is>
      </c>
      <c r="AF7" s="2" t="inlineStr">
        <is>
          <t>From legacy to modern in phases — with change management that keeps your team onboard.</t>
        </is>
      </c>
      <c r="AG7" s="2" t="inlineStr">
        <is>
          <t>Get a Transformation Roadmap</t>
        </is>
      </c>
      <c r="AH7" s="2" t="inlineStr">
        <is>
          <t>50+ transformations completed; zero-disruption methodology; 6-month ROI guarantee</t>
        </is>
      </c>
      <c r="AI7" s="2" t="inlineStr">
        <is>
          <t>Before/after system architecture; phase timeline; staff adoption rates; ROI metrics</t>
        </is>
      </c>
      <c r="AJ7" s="2" t="inlineStr">
        <is>
          <t>Digital Strategy, Legacy Modernization, Change Management, Technology Roadmap</t>
        </is>
      </c>
      <c r="AK7" s="2" t="inlineStr">
        <is>
          <t>Free Transformation Assessment</t>
        </is>
      </c>
      <c r="AL7" s="2" t="inlineStr">
        <is>
          <t>#14213D</t>
        </is>
      </c>
      <c r="AM7" s="2" t="inlineStr">
        <is>
          <t>Transform/Upgrade icon</t>
        </is>
      </c>
      <c r="AN7" s="2" t="inlineStr">
        <is>
          <t>Starter → Growth → Scale; add ongoing optimization; managed services retainer</t>
        </is>
      </c>
      <c r="AO7" s="2" t="inlineStr">
        <is>
          <t>Systems Integration, Business Intelligence, Managed Services</t>
        </is>
      </c>
    </row>
    <row r="8">
      <c r="A8" s="2" t="inlineStr">
        <is>
          <t>7</t>
        </is>
      </c>
      <c r="B8" s="2" t="inlineStr">
        <is>
          <t>Compliance Training</t>
        </is>
      </c>
      <c r="C8" s="2" t="inlineStr">
        <is>
          <t>compliance-training</t>
        </is>
      </c>
      <c r="D8" s="2" t="inlineStr">
        <is>
          <t>$3K–$15K</t>
        </is>
      </c>
      <c r="E8" s="2" t="inlineStr">
        <is>
          <t>Core</t>
        </is>
      </c>
      <c r="F8" s="2" t="inlineStr">
        <is>
          <t>8-course library, auto-assignment, certificate generation, compliance tracking, audit reports</t>
        </is>
      </c>
      <c r="G8" s="2" t="inlineStr">
        <is>
          <t>8-course library; Auto-assignment rules; Certificate generation; Compliance tracking; Recertification alerts; Audit-ready reports</t>
        </is>
      </c>
      <c r="H8" s="2" t="inlineStr">
        <is>
          <t>8-Course Library</t>
        </is>
      </c>
      <c r="I8" s="2" t="inlineStr">
        <is>
          <t>Auto-Assignment</t>
        </is>
      </c>
      <c r="J8" s="2" t="inlineStr">
        <is>
          <t>Certificate Generation</t>
        </is>
      </c>
      <c r="K8" s="2" t="inlineStr">
        <is>
          <t>Compliance Tracking</t>
        </is>
      </c>
      <c r="L8" s="2" t="inlineStr">
        <is>
          <t>Recertification</t>
        </is>
      </c>
      <c r="M8" s="2" t="inlineStr">
        <is>
          <t>Audit Reports</t>
        </is>
      </c>
      <c r="N8" s="2" t="inlineStr">
        <is>
          <t>2–4 weeks</t>
        </is>
      </c>
      <c r="O8" s="2" t="inlineStr">
        <is>
          <t>Any business with employees needing regulatory compliance documentation</t>
        </is>
      </c>
      <c r="P8" s="2" t="inlineStr">
        <is>
          <t>Manual compliance tracking; audit anxiety; expired certifications; no training records</t>
        </is>
      </c>
      <c r="Q8" s="2" t="inlineStr">
        <is>
          <t>Starter</t>
        </is>
      </c>
      <c r="R8" s="2" t="inlineStr">
        <is>
          <t>$3,000</t>
        </is>
      </c>
      <c r="S8" s="2" t="inlineStr">
        <is>
          <t>Growth</t>
        </is>
      </c>
      <c r="T8" s="2" t="inlineStr">
        <is>
          <t>$8,000</t>
        </is>
      </c>
      <c r="U8" s="2" t="inlineStr">
        <is>
          <t>Scale</t>
        </is>
      </c>
      <c r="V8" s="2" t="inlineStr">
        <is>
          <t>$15,000</t>
        </is>
      </c>
      <c r="W8" s="2" t="inlineStr">
        <is>
          <t>Compliance Training Provider</t>
        </is>
      </c>
      <c r="X8" s="2" t="inlineStr">
        <is>
          <t>Compliance training platform with 8-course library, auto-assignment, certificates, and audit-ready reports. Recertification alerts and tracking included.</t>
        </is>
      </c>
      <c r="Y8" s="2" t="inlineStr">
        <is>
          <t>Compliance Course Library, Auto-Assignment, Certificate System, Tracking Dashboard, Audit Reports, Recertification</t>
        </is>
      </c>
      <c r="Z8" s="2" t="inlineStr">
        <is>
          <t>Compliance Training Platform | Audit-Ready Certificates | [Brand]</t>
        </is>
      </c>
      <c r="AA8" s="2" t="inlineStr">
        <is>
          <t>Meet compliance requirements with our 8-course library, auto-assignment, and audit-ready reports. Certificates and recertification tracking included.</t>
        </is>
      </c>
      <c r="AB8" s="2" t="inlineStr">
        <is>
          <t>compliance training software, regulatory training platform, employee compliance certification, audit-ready training</t>
        </is>
      </c>
      <c r="AC8" s="2" t="inlineStr">
        <is>
          <t>OSHA training platform, workplace compliance, HR training software, certification management</t>
        </is>
      </c>
      <c r="AD8" s="2" t="inlineStr">
        <is>
          <t>Landing → Course Library → Features → Compliance Audit → Pricing → CTA</t>
        </is>
      </c>
      <c r="AE8" s="2" t="inlineStr">
        <is>
          <t>Stay compliant without the paperwork nightmare</t>
        </is>
      </c>
      <c r="AF8" s="2" t="inlineStr">
        <is>
          <t>Auto-assign courses, track completion, generate certificates, and pass audits with one platform.</t>
        </is>
      </c>
      <c r="AG8" s="2" t="inlineStr">
        <is>
          <t>Preview the Course Library</t>
        </is>
      </c>
      <c r="AH8" s="2" t="inlineStr">
        <is>
          <t>500+ companies compliant; 95% audit pass rate; automated recertification</t>
        </is>
      </c>
      <c r="AI8" s="2" t="inlineStr">
        <is>
          <t>Course previews; compliance dashboard screenshots; audit success stories</t>
        </is>
      </c>
      <c r="AJ8" s="2" t="inlineStr">
        <is>
          <t>Compliance Best Practices, Regulatory Updates, HR Training, Workplace Safety</t>
        </is>
      </c>
      <c r="AK8" s="2" t="inlineStr">
        <is>
          <t>Free Compliance Audit Checklist</t>
        </is>
      </c>
      <c r="AL8" s="2" t="inlineStr">
        <is>
          <t>#D62828</t>
        </is>
      </c>
      <c r="AM8" s="2" t="inlineStr">
        <is>
          <t>Shield/Certificate icon</t>
        </is>
      </c>
      <c r="AN8" s="2" t="inlineStr">
        <is>
          <t>Starter → Growth → Scale; add custom courses; productize for resale</t>
        </is>
      </c>
      <c r="AO8" s="2" t="inlineStr">
        <is>
          <t>Managed Services, Training Platform</t>
        </is>
      </c>
    </row>
    <row r="9">
      <c r="A9" s="2" t="inlineStr">
        <is>
          <t>8</t>
        </is>
      </c>
      <c r="B9" s="2" t="inlineStr">
        <is>
          <t>Managed Services</t>
        </is>
      </c>
      <c r="C9" s="2" t="inlineStr">
        <is>
          <t>managed-services</t>
        </is>
      </c>
      <c r="D9" s="2" t="inlineStr">
        <is>
          <t>$1.5K–$5K/mo</t>
        </is>
      </c>
      <c r="E9" s="2" t="inlineStr">
        <is>
          <t>Core</t>
        </is>
      </c>
      <c r="F9" s="2" t="inlineStr">
        <is>
          <t>24/7 monitoring, dedicated manager, priority support, monthly reports, quarterly reviews, updates</t>
        </is>
      </c>
      <c r="G9" s="2" t="inlineStr">
        <is>
          <t>24/7 monitoring; Dedicated account manager; Priority support; Monthly reports; Quarterly reviews; Security &amp; updates</t>
        </is>
      </c>
      <c r="H9" s="2" t="inlineStr">
        <is>
          <t>24/7 Monitoring</t>
        </is>
      </c>
      <c r="I9" s="2" t="inlineStr">
        <is>
          <t>Dedicated Manager</t>
        </is>
      </c>
      <c r="J9" s="2" t="inlineStr">
        <is>
          <t>Priority Support</t>
        </is>
      </c>
      <c r="K9" s="2" t="inlineStr">
        <is>
          <t>Monthly Reports</t>
        </is>
      </c>
      <c r="L9" s="2" t="inlineStr">
        <is>
          <t>Quarterly Reviews</t>
        </is>
      </c>
      <c r="M9" s="2" t="inlineStr">
        <is>
          <t>Security &amp; Updates</t>
        </is>
      </c>
      <c r="N9" s="2" t="inlineStr">
        <is>
          <t>Ongoing (monthly)</t>
        </is>
      </c>
      <c r="O9" s="2" t="inlineStr">
        <is>
          <t>Businesses with deployed technology but lacking internal IT staff to maintain it</t>
        </is>
      </c>
      <c r="P9" s="2" t="inlineStr">
        <is>
          <t>Deployed systems with no maintenance plan; periodic outages; no performance optimization; security concerns</t>
        </is>
      </c>
      <c r="Q9" s="2" t="inlineStr">
        <is>
          <t>Starter</t>
        </is>
      </c>
      <c r="R9" s="2" t="inlineStr">
        <is>
          <t>$1,500/mo</t>
        </is>
      </c>
      <c r="S9" s="2" t="inlineStr">
        <is>
          <t>Growth</t>
        </is>
      </c>
      <c r="T9" s="2" t="inlineStr">
        <is>
          <t>$3,000/mo</t>
        </is>
      </c>
      <c r="U9" s="2" t="inlineStr">
        <is>
          <t>Scale</t>
        </is>
      </c>
      <c r="V9" s="2" t="inlineStr">
        <is>
          <t>$5,000/mo</t>
        </is>
      </c>
      <c r="W9" s="2" t="inlineStr">
        <is>
          <t>Managed IT Service Provider</t>
        </is>
      </c>
      <c r="X9" s="2" t="inlineStr">
        <is>
          <t>24/7 technology monitoring and management. Dedicated account manager, priority support, monthly reports, and quarterly strategy reviews included.</t>
        </is>
      </c>
      <c r="Y9" s="2" t="inlineStr">
        <is>
          <t>24/7 Monitoring, Incident Response, Performance Optimization, Security Updates, Reporting, Strategy Reviews</t>
        </is>
      </c>
      <c r="Z9" s="2" t="inlineStr">
        <is>
          <t>Managed Services | 24/7 Technology Monitoring | [Brand]</t>
        </is>
      </c>
      <c r="AA9" s="2" t="inlineStr">
        <is>
          <t>Let us manage your technology so you can focus on growth. 24/7 monitoring, dedicated manager, monthly reports, and quarterly strategy reviews.</t>
        </is>
      </c>
      <c r="AB9" s="2" t="inlineStr">
        <is>
          <t>managed IT services, technology management, 24/7 monitoring service, dedicated tech support</t>
        </is>
      </c>
      <c r="AC9" s="2" t="inlineStr">
        <is>
          <t>outsourced IT management, MSP services, technology maintenance, proactive IT support</t>
        </is>
      </c>
      <c r="AD9" s="2" t="inlineStr">
        <is>
          <t>Landing → Service Overview → SLAs → Case Studies → Pricing → CTA</t>
        </is>
      </c>
      <c r="AE9" s="2" t="inlineStr">
        <is>
          <t>We manage your technology so you can manage your business</t>
        </is>
      </c>
      <c r="AF9" s="2" t="inlineStr">
        <is>
          <t>24/7 monitoring, dedicated manager, and monthly reports. Your outsourced technology department.</t>
        </is>
      </c>
      <c r="AG9" s="2" t="inlineStr">
        <is>
          <t>Get a Managed Services Quote</t>
        </is>
      </c>
      <c r="AH9" s="2" t="inlineStr">
        <is>
          <t>300+ clients managed; 99.9% uptime; 15-minute response SLA</t>
        </is>
      </c>
      <c r="AI9" s="2" t="inlineStr">
        <is>
          <t>Uptime stats; response time metrics; client retention rate; NPS score</t>
        </is>
      </c>
      <c r="AJ9" s="2" t="inlineStr">
        <is>
          <t>IT Management, System Monitoring, Technology Optimization, Cybersecurity</t>
        </is>
      </c>
      <c r="AK9" s="2" t="inlineStr">
        <is>
          <t>Free Technology Health Check</t>
        </is>
      </c>
      <c r="AL9" s="2" t="inlineStr">
        <is>
          <t>#1B4332</t>
        </is>
      </c>
      <c r="AM9" s="2" t="inlineStr">
        <is>
          <t>Shield/Monitoring icon</t>
        </is>
      </c>
      <c r="AN9" s="2" t="inlineStr">
        <is>
          <t>Starter → Growth → Scale; add security; add strategic consulting</t>
        </is>
      </c>
      <c r="AO9" s="2" t="inlineStr">
        <is>
          <t>All other services (natural retention vehicle)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s>
  <sheetData>
    <row r="1">
      <c r="A1" s="1" t="inlineStr">
        <is>
          <t>Service #</t>
        </is>
      </c>
      <c r="B1" s="1" t="inlineStr">
        <is>
          <t>Service Name</t>
        </is>
      </c>
      <c r="C1" s="1" t="inlineStr">
        <is>
          <t>Slug</t>
        </is>
      </c>
      <c r="D1" s="1" t="inlineStr">
        <is>
          <t>Price Range</t>
        </is>
      </c>
      <c r="E1" s="1" t="inlineStr">
        <is>
          <t>Category</t>
        </is>
      </c>
      <c r="F1" s="1" t="inlineStr">
        <is>
          <t>Overview</t>
        </is>
      </c>
      <c r="G1" s="1" t="inlineStr">
        <is>
          <t>Deliverables</t>
        </is>
      </c>
      <c r="H1" s="1" t="inlineStr">
        <is>
          <t>Feature 1</t>
        </is>
      </c>
      <c r="I1" s="1" t="inlineStr">
        <is>
          <t>Feature 2</t>
        </is>
      </c>
      <c r="J1" s="1" t="inlineStr">
        <is>
          <t>Feature 3</t>
        </is>
      </c>
      <c r="K1" s="1" t="inlineStr">
        <is>
          <t>Feature 4</t>
        </is>
      </c>
      <c r="L1" s="1" t="inlineStr">
        <is>
          <t>Feature 5</t>
        </is>
      </c>
      <c r="M1" s="1" t="inlineStr">
        <is>
          <t>Feature 6</t>
        </is>
      </c>
      <c r="N1" s="1" t="inlineStr">
        <is>
          <t>Timeline Range</t>
        </is>
      </c>
      <c r="O1" s="1" t="inlineStr">
        <is>
          <t>Ideal Client Profile</t>
        </is>
      </c>
      <c r="P1" s="1" t="inlineStr">
        <is>
          <t>Ideal Client Details</t>
        </is>
      </c>
      <c r="Q1" s="1" t="inlineStr">
        <is>
          <t>Tier 1 Name</t>
        </is>
      </c>
      <c r="R1" s="1" t="inlineStr">
        <is>
          <t>Tier 1 Price</t>
        </is>
      </c>
      <c r="S1" s="1" t="inlineStr">
        <is>
          <t>Tier 2 Name</t>
        </is>
      </c>
      <c r="T1" s="1" t="inlineStr">
        <is>
          <t>Tier 2 Price</t>
        </is>
      </c>
      <c r="U1" s="1" t="inlineStr">
        <is>
          <t>Tier 3 Name</t>
        </is>
      </c>
      <c r="V1" s="1" t="inlineStr">
        <is>
          <t>Tier 3 Price</t>
        </is>
      </c>
      <c r="W1" s="1" t="inlineStr">
        <is>
          <t>GMB Category</t>
        </is>
      </c>
      <c r="X1" s="1" t="inlineStr">
        <is>
          <t>GMB Description (750 char)</t>
        </is>
      </c>
      <c r="Y1" s="1" t="inlineStr">
        <is>
          <t>GMB Services List</t>
        </is>
      </c>
      <c r="Z1" s="1" t="inlineStr">
        <is>
          <t>SEO Title Tag</t>
        </is>
      </c>
      <c r="AA1" s="1" t="inlineStr">
        <is>
          <t>SEO Meta Description</t>
        </is>
      </c>
      <c r="AB1" s="1" t="inlineStr">
        <is>
          <t>SEO Primary Keywords</t>
        </is>
      </c>
      <c r="AC1" s="1" t="inlineStr">
        <is>
          <t>SEO Secondary Keywords</t>
        </is>
      </c>
      <c r="AD1" s="1" t="inlineStr">
        <is>
          <t>Website Page Structure</t>
        </is>
      </c>
      <c r="AE1" s="1" t="inlineStr">
        <is>
          <t>Hero Headline</t>
        </is>
      </c>
      <c r="AF1" s="1" t="inlineStr">
        <is>
          <t>Hero Subheadline</t>
        </is>
      </c>
      <c r="AG1" s="1" t="inlineStr">
        <is>
          <t>Primary CTA</t>
        </is>
      </c>
      <c r="AH1" s="1" t="inlineStr">
        <is>
          <t>Trust Signals</t>
        </is>
      </c>
      <c r="AI1" s="1" t="inlineStr">
        <is>
          <t>Social Proof Elements</t>
        </is>
      </c>
      <c r="AJ1" s="1" t="inlineStr">
        <is>
          <t>Authority Content Topics</t>
        </is>
      </c>
      <c r="AK1" s="1" t="inlineStr">
        <is>
          <t>Lead Magnet for This Service</t>
        </is>
      </c>
      <c r="AL1" s="1" t="inlineStr">
        <is>
          <t>Design Accent Color</t>
        </is>
      </c>
      <c r="AM1" s="1" t="inlineStr">
        <is>
          <t>Icon/Visual Theme</t>
        </is>
      </c>
      <c r="AN1" s="1" t="inlineStr">
        <is>
          <t>Upsell Path</t>
        </is>
      </c>
      <c r="AO1" s="1" t="inlineStr">
        <is>
          <t>Cross-Sell Services</t>
        </is>
      </c>
    </row>
    <row r="2">
      <c r="A2" s="2" t="inlineStr">
        <is>
          <t>1</t>
        </is>
      </c>
      <c r="B2" s="2" t="inlineStr">
        <is>
          <t>RE Syndication Portals</t>
        </is>
      </c>
      <c r="C2" s="2" t="inlineStr">
        <is>
          <t>re-syndication</t>
        </is>
      </c>
      <c r="D2" s="2" t="inlineStr">
        <is>
          <t>$8K–$20K + $1.5K–$4K/mo</t>
        </is>
      </c>
      <c r="E2" s="2" t="inlineStr">
        <is>
          <t>Blue Ocean</t>
        </is>
      </c>
      <c r="F2" s="2" t="inlineStr">
        <is>
          <t>Investor portal, deal rooms, accreditation workflow, K-1 distribution, capital call management</t>
        </is>
      </c>
      <c r="G2" s="2" t="inlineStr">
        <is>
          <t>Investor portal; Deal rooms; Accreditation workflow; K-1 distribution; Capital call management; Waterfall calculator</t>
        </is>
      </c>
      <c r="H2" s="2" t="inlineStr">
        <is>
          <t>Investor Portal</t>
        </is>
      </c>
      <c r="I2" s="2" t="inlineStr">
        <is>
          <t>Deal Rooms</t>
        </is>
      </c>
      <c r="J2" s="2" t="inlineStr">
        <is>
          <t>Accreditation Workflow</t>
        </is>
      </c>
      <c r="K2" s="2" t="inlineStr">
        <is>
          <t>K-1 Distribution</t>
        </is>
      </c>
      <c r="L2" s="2" t="inlineStr">
        <is>
          <t>Capital Call Mgmt</t>
        </is>
      </c>
      <c r="M2" s="2" t="inlineStr">
        <is>
          <t>Waterfall Calculator</t>
        </is>
      </c>
      <c r="N2" s="2" t="inlineStr">
        <is>
          <t>6–10 weeks</t>
        </is>
      </c>
      <c r="O2" s="2" t="inlineStr">
        <is>
          <t>Syndicators, fund managers, RE investment groups managing investor relations</t>
        </is>
      </c>
      <c r="P2" s="2" t="inlineStr">
        <is>
          <t>Manual investor updates; paper accreditation; no deal room; scattered K-1 distribution</t>
        </is>
      </c>
      <c r="Q2" s="2" t="inlineStr">
        <is>
          <t>Starter</t>
        </is>
      </c>
      <c r="R2" s="2" t="inlineStr">
        <is>
          <t>$8K+$1.5K/mo</t>
        </is>
      </c>
      <c r="S2" s="2" t="inlineStr">
        <is>
          <t>Growth</t>
        </is>
      </c>
      <c r="T2" s="2" t="inlineStr">
        <is>
          <t>$14K+$2.5K/mo</t>
        </is>
      </c>
      <c r="U2" s="2" t="inlineStr">
        <is>
          <t>Scale</t>
        </is>
      </c>
      <c r="V2" s="2" t="inlineStr">
        <is>
          <t>$20K+$4K/mo</t>
        </is>
      </c>
      <c r="W2" s="2" t="inlineStr">
        <is>
          <t>Real Estate Investment Company</t>
        </is>
      </c>
      <c r="X2" s="2" t="inlineStr">
        <is>
          <t>Investor portal for real estate syndications. Deal rooms, accreditation workflow, K-1 distribution, capital calls, and waterfall calculations in one branded platform.</t>
        </is>
      </c>
      <c r="Y2" s="2" t="inlineStr">
        <is>
          <t>Investor Portal, Deal Room, Accreditation, K-1 Distribution, Capital Calls, Waterfall Calculator</t>
        </is>
      </c>
      <c r="Z2" s="2" t="inlineStr">
        <is>
          <t>RE Syndication Portal | Investor Relations Platform | [Brand]</t>
        </is>
      </c>
      <c r="AA2" s="2" t="inlineStr">
        <is>
          <t>Manage investor relations with deal rooms, accreditation, K-1 distribution, and capital call management. Branded investor portal.</t>
        </is>
      </c>
      <c r="AB2" s="2" t="inlineStr">
        <is>
          <t>real estate syndication software, investor portal platform, deal room software, capital call management</t>
        </is>
      </c>
      <c r="AC2" s="2" t="inlineStr">
        <is>
          <t>syndication investor relations, K-1 distribution platform, waterfall calculator software</t>
        </is>
      </c>
      <c r="AD2" s="2" t="inlineStr">
        <is>
          <t>Landing → Portal Demo → Deal Room Tour → Accreditation Flow → Pricing → CTA</t>
        </is>
      </c>
      <c r="AE2" s="2" t="inlineStr">
        <is>
          <t>Professional investor relations that scale with your fund</t>
        </is>
      </c>
      <c r="AF2" s="2" t="inlineStr">
        <is>
          <t>Deal rooms, accreditation, K-1s, and capital calls — one branded portal for your investors.</t>
        </is>
      </c>
      <c r="AG2" s="2" t="inlineStr">
        <is>
          <t>See an Investor Portal Demo</t>
        </is>
      </c>
      <c r="AH2" s="2" t="inlineStr">
        <is>
          <t>25+ syndicators; $500M+ AUM managed; SEC-compliant workflows</t>
        </is>
      </c>
      <c r="AI2" s="2" t="inlineStr">
        <is>
          <t>Portal screenshots; investor satisfaction; fund performance dashboards</t>
        </is>
      </c>
      <c r="AJ2" s="2" t="inlineStr">
        <is>
          <t>Syndication Best Practices, Investor Relations, Fund Management, Real Estate Investing</t>
        </is>
      </c>
      <c r="AK2" s="2" t="inlineStr">
        <is>
          <t>Free Fund Operations Assessment</t>
        </is>
      </c>
      <c r="AL2" s="2" t="inlineStr">
        <is>
          <t>#1B263B</t>
        </is>
      </c>
      <c r="AM2" s="2" t="inlineStr">
        <is>
          <t>Building/Investment icon</t>
        </is>
      </c>
      <c r="AN2" s="2" t="inlineStr">
        <is>
          <t>Starter → Growth → Scale; add waterfall calculator; add custom reporting</t>
        </is>
      </c>
      <c r="AO2" s="2" t="inlineStr">
        <is>
          <t>Client Portal, Business Intelligence</t>
        </is>
      </c>
    </row>
    <row r="3">
      <c r="A3" s="2" t="inlineStr">
        <is>
          <t>2</t>
        </is>
      </c>
      <c r="B3" s="2" t="inlineStr">
        <is>
          <t>Immigration Law Practice</t>
        </is>
      </c>
      <c r="C3" s="2" t="inlineStr">
        <is>
          <t>immigration-law</t>
        </is>
      </c>
      <c r="D3" s="2" t="inlineStr">
        <is>
          <t>$5K–$12K + $800–$2K/mo</t>
        </is>
      </c>
      <c r="E3" s="2" t="inlineStr">
        <is>
          <t>Blue Ocean</t>
        </is>
      </c>
      <c r="F3" s="2" t="inlineStr">
        <is>
          <t>Multilingual portal, 5 case pipelines (H-1B, EB-5, Family, Asylum, Naturalization), USCIS tracking</t>
        </is>
      </c>
      <c r="G3" s="2" t="inlineStr">
        <is>
          <t>Multilingual portal; 5 case pipelines; USCIS tracking; Document management; Deadline engine; Compliance calendar</t>
        </is>
      </c>
      <c r="H3" s="2" t="inlineStr">
        <is>
          <t>Multilingual Portal</t>
        </is>
      </c>
      <c r="I3" s="2" t="inlineStr">
        <is>
          <t>5 Case Pipelines</t>
        </is>
      </c>
      <c r="J3" s="2" t="inlineStr">
        <is>
          <t>USCIS Tracking</t>
        </is>
      </c>
      <c r="K3" s="2" t="inlineStr">
        <is>
          <t>Document Mgmt</t>
        </is>
      </c>
      <c r="L3" s="2" t="inlineStr">
        <is>
          <t>Deadline Engine</t>
        </is>
      </c>
      <c r="M3" s="2" t="inlineStr">
        <is>
          <t>Compliance Calendar</t>
        </is>
      </c>
      <c r="N3" s="2" t="inlineStr">
        <is>
          <t>4–8 weeks</t>
        </is>
      </c>
      <c r="O3" s="2" t="inlineStr">
        <is>
          <t>Immigration attorneys, law firms, visa consultancies</t>
        </is>
      </c>
      <c r="P3" s="2" t="inlineStr">
        <is>
          <t>Paper-heavy intake; missed deadlines; multilingual communication gaps; USCIS tracking manual</t>
        </is>
      </c>
      <c r="Q3" s="2" t="inlineStr">
        <is>
          <t>Starter</t>
        </is>
      </c>
      <c r="R3" s="2" t="inlineStr">
        <is>
          <t>$5K+$800/mo</t>
        </is>
      </c>
      <c r="S3" s="2" t="inlineStr">
        <is>
          <t>Growth</t>
        </is>
      </c>
      <c r="T3" s="2" t="inlineStr">
        <is>
          <t>$8K+$1.2K/mo</t>
        </is>
      </c>
      <c r="U3" s="2" t="inlineStr">
        <is>
          <t>Scale</t>
        </is>
      </c>
      <c r="V3" s="2" t="inlineStr">
        <is>
          <t>$12K+$2K/mo</t>
        </is>
      </c>
      <c r="W3" s="2" t="inlineStr">
        <is>
          <t>Immigration Attorney</t>
        </is>
      </c>
      <c r="X3" s="2" t="inlineStr">
        <is>
          <t>Immigration law practice management with multilingual portal, 5 case pipelines (H-1B, EB-5, Family, Asylum, Naturalization), USCIS tracking, and automated deadline management.</t>
        </is>
      </c>
      <c r="Y3" s="2" t="inlineStr">
        <is>
          <t>Case Management, Multilingual Portal, USCIS Tracking, Document Management, Deadline Management, Compliance Calendar</t>
        </is>
      </c>
      <c r="Z3" s="2" t="inlineStr">
        <is>
          <t>Immigration Law Practice Management | Case Pipeline Software | [Brand]</t>
        </is>
      </c>
      <c r="AA3" s="2" t="inlineStr">
        <is>
          <t>Streamline immigration law practice with multilingual portals, 5 case pipelines, USCIS tracking, and automated deadline management.</t>
        </is>
      </c>
      <c r="AB3" s="2" t="inlineStr">
        <is>
          <t>immigration law software, immigration case management, USCIS tracking software, visa case pipeline</t>
        </is>
      </c>
      <c r="AC3" s="2" t="inlineStr">
        <is>
          <t>immigration attorney practice management, multilingual legal portal, immigration deadline tracking</t>
        </is>
      </c>
      <c r="AD3" s="2" t="inlineStr">
        <is>
          <t>Landing → Case Pipeline Demo → Multilingual Features → Client Portal → Pricing → CTA</t>
        </is>
      </c>
      <c r="AE3" s="2" t="inlineStr">
        <is>
          <t>Help more families navigate immigration without drowning in paperwork</t>
        </is>
      </c>
      <c r="AF3" s="2" t="inlineStr">
        <is>
          <t>Multilingual portals, USCIS tracking, and automated deadlines for every case type.</t>
        </is>
      </c>
      <c r="AG3" s="2" t="inlineStr">
        <is>
          <t>Book an Immigration Tech Demo</t>
        </is>
      </c>
      <c r="AH3" s="2" t="inlineStr">
        <is>
          <t>40+ immigration firms; 5 case type pipelines; 60% intake drop-off reduction</t>
        </is>
      </c>
      <c r="AI3" s="2" t="inlineStr">
        <is>
          <t>Portal screenshots; case pipeline diagrams; attorney testimonials; compliance stats</t>
        </is>
      </c>
      <c r="AJ3" s="2" t="inlineStr">
        <is>
          <t>Immigration Law Tech, Case Management, Multilingual Client Experience, USCIS Updates</t>
        </is>
      </c>
      <c r="AK3" s="2" t="inlineStr">
        <is>
          <t>Free Immigration Intake Audit</t>
        </is>
      </c>
      <c r="AL3" s="2" t="inlineStr">
        <is>
          <t>#003049</t>
        </is>
      </c>
      <c r="AM3" s="2" t="inlineStr">
        <is>
          <t>Scales of Justice/Globe icon</t>
        </is>
      </c>
      <c r="AN3" s="2" t="inlineStr">
        <is>
          <t>Starter → Growth → Scale; add more case types; add compliance calendar</t>
        </is>
      </c>
      <c r="AO3" s="2" t="inlineStr">
        <is>
          <t>Client Portal, Process Automation</t>
        </is>
      </c>
    </row>
    <row r="4">
      <c r="A4" s="2" t="inlineStr">
        <is>
          <t>3</t>
        </is>
      </c>
      <c r="B4" s="2" t="inlineStr">
        <is>
          <t>Construction Project Mgmt</t>
        </is>
      </c>
      <c r="C4" s="2" t="inlineStr">
        <is>
          <t>construction</t>
        </is>
      </c>
      <c r="D4" s="2" t="inlineStr">
        <is>
          <t>$8K–$28K + $3K–$8K/mo</t>
        </is>
      </c>
      <c r="E4" s="2" t="inlineStr">
        <is>
          <t>Blue Ocean</t>
        </is>
      </c>
      <c r="F4" s="2" t="inlineStr">
        <is>
          <t>Project command center, daily reports, change order management, safety compliance, subcontractor portal</t>
        </is>
      </c>
      <c r="G4" s="2" t="inlineStr">
        <is>
          <t>Project command center; Daily reports; Change order management; Safety compliance; Subcontractor portal; Budget tracking</t>
        </is>
      </c>
      <c r="H4" s="2" t="inlineStr">
        <is>
          <t>Project Command Center</t>
        </is>
      </c>
      <c r="I4" s="2" t="inlineStr">
        <is>
          <t>Daily Reports</t>
        </is>
      </c>
      <c r="J4" s="2" t="inlineStr">
        <is>
          <t>Change Orders</t>
        </is>
      </c>
      <c r="K4" s="2" t="inlineStr">
        <is>
          <t>Safety Compliance</t>
        </is>
      </c>
      <c r="L4" s="2" t="inlineStr">
        <is>
          <t>Sub Portal</t>
        </is>
      </c>
      <c r="M4" s="2" t="inlineStr">
        <is>
          <t>Budget Tracking</t>
        </is>
      </c>
      <c r="N4" s="2" t="inlineStr">
        <is>
          <t>6–12 weeks</t>
        </is>
      </c>
      <c r="O4" s="2" t="inlineStr">
        <is>
          <t>General contractors, construction managers, specialty trades</t>
        </is>
      </c>
      <c r="P4" s="2" t="inlineStr">
        <is>
          <t>Paper-based daily reports; manual change orders; no sub portal; safety doc scattered</t>
        </is>
      </c>
      <c r="Q4" s="2" t="inlineStr">
        <is>
          <t>Starter</t>
        </is>
      </c>
      <c r="R4" s="2" t="inlineStr">
        <is>
          <t>$8K+$3K/mo</t>
        </is>
      </c>
      <c r="S4" s="2" t="inlineStr">
        <is>
          <t>Growth</t>
        </is>
      </c>
      <c r="T4" s="2" t="inlineStr">
        <is>
          <t>$18K+$5K/mo</t>
        </is>
      </c>
      <c r="U4" s="2" t="inlineStr">
        <is>
          <t>Scale</t>
        </is>
      </c>
      <c r="V4" s="2" t="inlineStr">
        <is>
          <t>$28K+$8K/mo</t>
        </is>
      </c>
      <c r="W4" s="2" t="inlineStr">
        <is>
          <t>General Contractor</t>
        </is>
      </c>
      <c r="X4" s="2" t="inlineStr">
        <is>
          <t>Construction project management with daily reports, change order tracking, safety compliance, subcontractor portal, and budget management. Mobile-ready for field teams.</t>
        </is>
      </c>
      <c r="Y4" s="2" t="inlineStr">
        <is>
          <t>Project Management, Daily Reports, Change Orders, Safety Compliance, Sub Portal, Budget Tracking</t>
        </is>
      </c>
      <c r="Z4" s="2" t="inlineStr">
        <is>
          <t>Construction Project Management | Contractor Software | [Brand]</t>
        </is>
      </c>
      <c r="AA4" s="2" t="inlineStr">
        <is>
          <t>Manage construction projects with daily reports, change orders, safety compliance, and budget tracking. Subcontractor portal included.</t>
        </is>
      </c>
      <c r="AB4" s="2" t="inlineStr">
        <is>
          <t>construction project management software, contractor management platform, change order tracking, safety compliance software</t>
        </is>
      </c>
      <c r="AC4" s="2" t="inlineStr">
        <is>
          <t>construction daily report app, subcontractor portal, construction budget tracking, field management</t>
        </is>
      </c>
      <c r="AD4" s="2" t="inlineStr">
        <is>
          <t>Landing → Project Demo → Safety Features → Sub Portal → Pricing → CTA</t>
        </is>
      </c>
      <c r="AE4" s="2" t="inlineStr">
        <is>
          <t>Win more bids. Finish more projects. Zero paperwork.</t>
        </is>
      </c>
      <c r="AF4" s="2" t="inlineStr">
        <is>
          <t>Daily reports, change orders, safety compliance, and subcontractor coordination in one platform.</t>
        </is>
      </c>
      <c r="AG4" s="2" t="inlineStr">
        <is>
          <t>Get a Free Operations Assessment</t>
        </is>
      </c>
      <c r="AH4" s="2" t="inlineStr">
        <is>
          <t>100+ contractors; 35% more bids won; 30% reduction in admin time</t>
        </is>
      </c>
      <c r="AI4" s="2" t="inlineStr">
        <is>
          <t>Project dashboard screenshots; field team photos; contractor testimonials; safety stats</t>
        </is>
      </c>
      <c r="AJ4" s="2" t="inlineStr">
        <is>
          <t>Construction Management, Safety Compliance, Project Delivery, Contractor Operations</t>
        </is>
      </c>
      <c r="AK4" s="2" t="inlineStr">
        <is>
          <t>Free Bid Recovery Analysis</t>
        </is>
      </c>
      <c r="AL4" s="2" t="inlineStr">
        <is>
          <t>#E76F51</t>
        </is>
      </c>
      <c r="AM4" s="2" t="inlineStr">
        <is>
          <t>Hard hat/Blueprint icon</t>
        </is>
      </c>
      <c r="AN4" s="2" t="inlineStr">
        <is>
          <t>Starter → Growth → Scale; add safety compliance; add budget tracking</t>
        </is>
      </c>
      <c r="AO4" s="2" t="inlineStr">
        <is>
          <t>Process Automation, Managed Services</t>
        </is>
      </c>
    </row>
    <row r="5">
      <c r="A5" s="2" t="inlineStr">
        <is>
          <t>4</t>
        </is>
      </c>
      <c r="B5" s="2" t="inlineStr">
        <is>
          <t>Franchise Operations Mgmt</t>
        </is>
      </c>
      <c r="C5" s="2" t="inlineStr">
        <is>
          <t>franchise</t>
        </is>
      </c>
      <c r="D5" s="2" t="inlineStr">
        <is>
          <t>$10K–$30K + $2K–$6K/mo</t>
        </is>
      </c>
      <c r="E5" s="2" t="inlineStr">
        <is>
          <t>Blue Ocean</t>
        </is>
      </c>
      <c r="F5" s="2" t="inlineStr">
        <is>
          <t>Franchisee portal, brand compliance, performance benchmarking, training, territory management</t>
        </is>
      </c>
      <c r="G5" s="2" t="inlineStr">
        <is>
          <t>Franchisee portal; Brand compliance engine; Performance benchmarking; Training system; Operations manuals; Territory management</t>
        </is>
      </c>
      <c r="H5" s="2" t="inlineStr">
        <is>
          <t>Franchisee Portal</t>
        </is>
      </c>
      <c r="I5" s="2" t="inlineStr">
        <is>
          <t>Brand Compliance</t>
        </is>
      </c>
      <c r="J5" s="2" t="inlineStr">
        <is>
          <t>Performance Benchmarking</t>
        </is>
      </c>
      <c r="K5" s="2" t="inlineStr">
        <is>
          <t>Training System</t>
        </is>
      </c>
      <c r="L5" s="2" t="inlineStr">
        <is>
          <t>Operations Manuals</t>
        </is>
      </c>
      <c r="M5" s="2" t="inlineStr">
        <is>
          <t>Territory Mgmt</t>
        </is>
      </c>
      <c r="N5" s="2" t="inlineStr">
        <is>
          <t>8–14 weeks</t>
        </is>
      </c>
      <c r="O5" s="2" t="inlineStr">
        <is>
          <t>Franchise brands, multi-unit operators, franchise development companies</t>
        </is>
      </c>
      <c r="P5" s="2" t="inlineStr">
        <is>
          <t>Brand inconsistency; no centralized performance data; slow franchisee onboarding; manual compliance</t>
        </is>
      </c>
      <c r="Q5" s="2" t="inlineStr">
        <is>
          <t>Starter</t>
        </is>
      </c>
      <c r="R5" s="2" t="inlineStr">
        <is>
          <t>$10K+$2K/mo</t>
        </is>
      </c>
      <c r="S5" s="2" t="inlineStr">
        <is>
          <t>Growth</t>
        </is>
      </c>
      <c r="T5" s="2" t="inlineStr">
        <is>
          <t>$20K+$4K/mo</t>
        </is>
      </c>
      <c r="U5" s="2" t="inlineStr">
        <is>
          <t>Scale</t>
        </is>
      </c>
      <c r="V5" s="2" t="inlineStr">
        <is>
          <t>$30K+$6K/mo</t>
        </is>
      </c>
      <c r="W5" s="2" t="inlineStr">
        <is>
          <t>Franchise Company</t>
        </is>
      </c>
      <c r="X5" s="2" t="inlineStr">
        <is>
          <t>Franchise operations platform with franchisee portal, brand compliance, performance benchmarking, training, and territory management. Centralized control for multi-location brands.</t>
        </is>
      </c>
      <c r="Y5" s="2" t="inlineStr">
        <is>
          <t>Franchisee Portal, Brand Compliance, Benchmarking, Training, Territory Management, Operations Manuals</t>
        </is>
      </c>
      <c r="Z5" s="2" t="inlineStr">
        <is>
          <t>Franchise Operations Platform | Multi-Location Management | [Brand]</t>
        </is>
      </c>
      <c r="AA5" s="2" t="inlineStr">
        <is>
          <t>Manage franchise operations with franchisee portals, brand compliance, benchmarking, and training. Territory management included.</t>
        </is>
      </c>
      <c r="AB5" s="2" t="inlineStr">
        <is>
          <t>franchise management software, franchise operations platform, multi-location management, brand compliance software</t>
        </is>
      </c>
      <c r="AC5" s="2" t="inlineStr">
        <is>
          <t>franchise performance benchmarking, franchisee portal, territory management software, franchise training</t>
        </is>
      </c>
      <c r="AD5" s="2" t="inlineStr">
        <is>
          <t>Landing → Franchise Demo → Compliance Features → Benchmarking → Pricing → CTA</t>
        </is>
      </c>
      <c r="AE5" s="2" t="inlineStr">
        <is>
          <t>One platform. Every location. Total brand control.</t>
        </is>
      </c>
      <c r="AF5" s="2" t="inlineStr">
        <is>
          <t>Franchisee portals, brand compliance, performance benchmarks, and training for every location.</t>
        </is>
      </c>
      <c r="AG5" s="2" t="inlineStr">
        <is>
          <t>Request a Franchise Demo</t>
        </is>
      </c>
      <c r="AH5" s="2" t="inlineStr">
        <is>
          <t>50+ franchise systems; 40% faster location ramp-up; brand compliance automation</t>
        </is>
      </c>
      <c r="AI5" s="2" t="inlineStr">
        <is>
          <t>Multi-location dashboard; benchmarking charts; franchisee testimonials; compliance stats</t>
        </is>
      </c>
      <c r="AJ5" s="2" t="inlineStr">
        <is>
          <t>Franchise Operations, Multi-Location Scaling, Brand Compliance, Franchise Development</t>
        </is>
      </c>
      <c r="AK5" s="2" t="inlineStr">
        <is>
          <t>Free Franchise Operations Assessment</t>
        </is>
      </c>
      <c r="AL5" s="2" t="inlineStr">
        <is>
          <t>#D62828</t>
        </is>
      </c>
      <c r="AM5" s="2" t="inlineStr">
        <is>
          <t>Map pins/Network icon</t>
        </is>
      </c>
      <c r="AN5" s="2" t="inlineStr">
        <is>
          <t>Starter → Growth → Scale; add territories; add marketplace</t>
        </is>
      </c>
      <c r="AO5" s="2" t="inlineStr">
        <is>
          <t>Training Platform, Managed Services</t>
        </is>
      </c>
    </row>
    <row r="6">
      <c r="A6" s="2" t="inlineStr">
        <is>
          <t>5</t>
        </is>
      </c>
      <c r="B6" s="2" t="inlineStr">
        <is>
          <t>Staffing Agency Platform</t>
        </is>
      </c>
      <c r="C6" s="2" t="inlineStr">
        <is>
          <t>staffing</t>
        </is>
      </c>
      <c r="D6" s="2" t="inlineStr">
        <is>
          <t>$6K–$15K + $1.5K–$4K/mo</t>
        </is>
      </c>
      <c r="E6" s="2" t="inlineStr">
        <is>
          <t>Blue Ocean</t>
        </is>
      </c>
      <c r="F6" s="2" t="inlineStr">
        <is>
          <t>Candidate portal, client portal, placement pipeline, timesheet management, compliance, analytics</t>
        </is>
      </c>
      <c r="G6" s="2" t="inlineStr">
        <is>
          <t>Candidate portal; Client portal; Placement pipeline; Timesheet management; Compliance tracking; Revenue analytics</t>
        </is>
      </c>
      <c r="H6" s="2" t="inlineStr">
        <is>
          <t>Candidate Portal</t>
        </is>
      </c>
      <c r="I6" s="2" t="inlineStr">
        <is>
          <t>Client Portal</t>
        </is>
      </c>
      <c r="J6" s="2" t="inlineStr">
        <is>
          <t>Placement Pipeline</t>
        </is>
      </c>
      <c r="K6" s="2" t="inlineStr">
        <is>
          <t>Timesheets</t>
        </is>
      </c>
      <c r="L6" s="2" t="inlineStr">
        <is>
          <t>Compliance</t>
        </is>
      </c>
      <c r="M6" s="2" t="inlineStr">
        <is>
          <t>Revenue Analytics</t>
        </is>
      </c>
      <c r="N6" s="2" t="inlineStr">
        <is>
          <t>4–8 weeks</t>
        </is>
      </c>
      <c r="O6" s="2" t="inlineStr">
        <is>
          <t>Staffing agencies managing candidates and clients across multiple verticals</t>
        </is>
      </c>
      <c r="P6" s="2" t="inlineStr">
        <is>
          <t>Manual candidate matching; no client portal; paper timesheets; no placement tracking</t>
        </is>
      </c>
      <c r="Q6" s="2" t="inlineStr">
        <is>
          <t>Starter</t>
        </is>
      </c>
      <c r="R6" s="2" t="inlineStr">
        <is>
          <t>$6K+$1.5K/mo</t>
        </is>
      </c>
      <c r="S6" s="2" t="inlineStr">
        <is>
          <t>Growth</t>
        </is>
      </c>
      <c r="T6" s="2" t="inlineStr">
        <is>
          <t>$10K+$2.5K/mo</t>
        </is>
      </c>
      <c r="U6" s="2" t="inlineStr">
        <is>
          <t>Scale</t>
        </is>
      </c>
      <c r="V6" s="2" t="inlineStr">
        <is>
          <t>$15K+$4K/mo</t>
        </is>
      </c>
      <c r="W6" s="2" t="inlineStr">
        <is>
          <t>Staffing Agency</t>
        </is>
      </c>
      <c r="X6" s="2" t="inlineStr">
        <is>
          <t>Staffing platform with candidate and client portals, placement pipeline, timesheet management, compliance tracking, and revenue analytics. Built for agencies managing multiple verticals.</t>
        </is>
      </c>
      <c r="Y6" s="2" t="inlineStr">
        <is>
          <t>Candidate Portal, Client Portal, Placement Pipeline, Timesheets, Compliance, Revenue Analytics</t>
        </is>
      </c>
      <c r="Z6" s="2" t="inlineStr">
        <is>
          <t>Staffing Agency Platform | Candidate &amp; Client Portals | [Brand]</t>
        </is>
      </c>
      <c r="AA6" s="2" t="inlineStr">
        <is>
          <t>Manage candidates, clients, placements, and timesheets in one platform. Compliance tracking and revenue analytics included.</t>
        </is>
      </c>
      <c r="AB6" s="2" t="inlineStr">
        <is>
          <t>staffing agency software, recruitment platform, candidate management system, placement tracking</t>
        </is>
      </c>
      <c r="AC6" s="2" t="inlineStr">
        <is>
          <t>staffing agency CRM, timesheet management, recruiter pipeline software, staffing analytics</t>
        </is>
      </c>
      <c r="AD6" s="2" t="inlineStr">
        <is>
          <t>Landing → Platform Demo → Candidate Portal → Client Portal → Pricing → CTA</t>
        </is>
      </c>
      <c r="AE6" s="2" t="inlineStr">
        <is>
          <t>Fill more roles faster. Delight clients. Track every placement.</t>
        </is>
      </c>
      <c r="AF6" s="2" t="inlineStr">
        <is>
          <t>Candidate and client portals, placement pipeline, timesheets, and revenue analytics in one platform.</t>
        </is>
      </c>
      <c r="AG6" s="2" t="inlineStr">
        <is>
          <t>See a Staffing Platform Demo</t>
        </is>
      </c>
      <c r="AH6" s="2" t="inlineStr">
        <is>
          <t>60+ staffing firms; 50% faster time-to-submittal; 30% more placements per recruiter</t>
        </is>
      </c>
      <c r="AI6" s="2" t="inlineStr">
        <is>
          <t>Portal screenshots; placement metrics; recruiter testimonials; client satisfaction stats</t>
        </is>
      </c>
      <c r="AJ6" s="2" t="inlineStr">
        <is>
          <t>Staffing Operations, Recruitment Tech, Candidate Management, Client Relations</t>
        </is>
      </c>
      <c r="AK6" s="2" t="inlineStr">
        <is>
          <t>Free Pipeline Audit</t>
        </is>
      </c>
      <c r="AL6" s="2" t="inlineStr">
        <is>
          <t>#0077B6</t>
        </is>
      </c>
      <c r="AM6" s="2" t="inlineStr">
        <is>
          <t>People/Connection icon</t>
        </is>
      </c>
      <c r="AN6" s="2" t="inlineStr">
        <is>
          <t>Starter → Growth → Scale; add compliance; add revenue analytics</t>
        </is>
      </c>
      <c r="AO6" s="2" t="inlineStr">
        <is>
          <t>Client Portal, Process Automation</t>
        </is>
      </c>
    </row>
    <row r="7">
      <c r="A7" s="2" t="inlineStr">
        <is>
          <t>6</t>
        </is>
      </c>
      <c r="B7" s="2" t="inlineStr">
        <is>
          <t>Church &amp; Ministry Mgmt</t>
        </is>
      </c>
      <c r="C7" s="2" t="inlineStr">
        <is>
          <t>church-management</t>
        </is>
      </c>
      <c r="D7" s="2" t="inlineStr">
        <is>
          <t>$4K–$10K + $500–$1.5K/mo</t>
        </is>
      </c>
      <c r="E7" s="2" t="inlineStr">
        <is>
          <t>Blue Ocean</t>
        </is>
      </c>
      <c r="F7" s="2" t="inlineStr">
        <is>
          <t>Member portal, volunteer scheduling, giving/donations, event management, small groups, comms hub</t>
        </is>
      </c>
      <c r="G7" s="2" t="inlineStr">
        <is>
          <t>Member portal; Volunteer scheduling; Giving &amp; donations; Event management; Small groups; Communication hub</t>
        </is>
      </c>
      <c r="H7" s="2" t="inlineStr">
        <is>
          <t>Member Portal</t>
        </is>
      </c>
      <c r="I7" s="2" t="inlineStr">
        <is>
          <t>Volunteer Scheduling</t>
        </is>
      </c>
      <c r="J7" s="2" t="inlineStr">
        <is>
          <t>Giving &amp; Donations</t>
        </is>
      </c>
      <c r="K7" s="2" t="inlineStr">
        <is>
          <t>Event Mgmt</t>
        </is>
      </c>
      <c r="L7" s="2" t="inlineStr">
        <is>
          <t>Small Groups</t>
        </is>
      </c>
      <c r="M7" s="2" t="inlineStr">
        <is>
          <t>Communication Hub</t>
        </is>
      </c>
      <c r="N7" s="2" t="inlineStr">
        <is>
          <t>3–6 weeks</t>
        </is>
      </c>
      <c r="O7" s="2" t="inlineStr">
        <is>
          <t>Churches, ministries, faith-based organizations</t>
        </is>
      </c>
      <c r="P7" s="2" t="inlineStr">
        <is>
          <t>Paper attendance; no online giving; manual volunteer scheduling; fragmented communication</t>
        </is>
      </c>
      <c r="Q7" s="2" t="inlineStr">
        <is>
          <t>Starter</t>
        </is>
      </c>
      <c r="R7" s="2" t="inlineStr">
        <is>
          <t>$4K+$500/mo</t>
        </is>
      </c>
      <c r="S7" s="2" t="inlineStr">
        <is>
          <t>Growth</t>
        </is>
      </c>
      <c r="T7" s="2" t="inlineStr">
        <is>
          <t>$7K+$1K/mo</t>
        </is>
      </c>
      <c r="U7" s="2" t="inlineStr">
        <is>
          <t>Scale</t>
        </is>
      </c>
      <c r="V7" s="2" t="inlineStr">
        <is>
          <t>$10K+$1.5K/mo</t>
        </is>
      </c>
      <c r="W7" s="2" t="inlineStr">
        <is>
          <t>Church</t>
        </is>
      </c>
      <c r="X7" s="2" t="inlineStr">
        <is>
          <t>Church management platform with member portal, volunteer scheduling, online giving, event management, small groups, and communication hub. Branded to your ministry.</t>
        </is>
      </c>
      <c r="Y7" s="2" t="inlineStr">
        <is>
          <t>Member Portal, Volunteer Scheduling, Online Giving, Event Management, Small Groups, Communications</t>
        </is>
      </c>
      <c r="Z7" s="2" t="inlineStr">
        <is>
          <t>Church Management Platform | Ministry Software | [Brand]</t>
        </is>
      </c>
      <c r="AA7" s="2" t="inlineStr">
        <is>
          <t>Manage your church with member portals, volunteer scheduling, online giving, and event management. Communication hub for your congregation.</t>
        </is>
      </c>
      <c r="AB7" s="2" t="inlineStr">
        <is>
          <t>church management software, ministry platform, online giving platform, church volunteer scheduling</t>
        </is>
      </c>
      <c r="AC7" s="2" t="inlineStr">
        <is>
          <t>church member portal, faith-based management, church event management, small group software</t>
        </is>
      </c>
      <c r="AD7" s="2" t="inlineStr">
        <is>
          <t>Landing → Ministry Demo → Giving Features → Volunteer Tools → Pricing → CTA</t>
        </is>
      </c>
      <c r="AE7" s="2" t="inlineStr">
        <is>
          <t>Focus on ministry, not management. Technology that serves your congregation.</t>
        </is>
      </c>
      <c r="AF7" s="2" t="inlineStr">
        <is>
          <t>Member portals, online giving, volunteer scheduling, and communication for your church.</t>
        </is>
      </c>
      <c r="AG7" s="2" t="inlineStr">
        <is>
          <t>See a Ministry Platform Demo</t>
        </is>
      </c>
      <c r="AH7" s="2" t="inlineStr">
        <is>
          <t>100+ churches; simplified giving; volunteer coordination; congregation engagement</t>
        </is>
      </c>
      <c r="AI7" s="2" t="inlineStr">
        <is>
          <t>Church dashboard screenshots; giving growth stats; pastor testimonials; congregation engagement</t>
        </is>
      </c>
      <c r="AJ7" s="2" t="inlineStr">
        <is>
          <t>Church Technology, Ministry Operations, Volunteer Management, Congregation Engagement</t>
        </is>
      </c>
      <c r="AK7" s="2" t="inlineStr">
        <is>
          <t>Free Ministry Tech Assessment</t>
        </is>
      </c>
      <c r="AL7" s="2" t="inlineStr">
        <is>
          <t>#7B2D8E</t>
        </is>
      </c>
      <c r="AM7" s="2" t="inlineStr">
        <is>
          <t>Cross/Community icon</t>
        </is>
      </c>
      <c r="AN7" s="2" t="inlineStr">
        <is>
          <t>Starter → Growth → Scale; add small groups; add event management</t>
        </is>
      </c>
      <c r="AO7" s="2" t="inlineStr">
        <is>
          <t>Training Platform, Client Portal</t>
        </is>
      </c>
    </row>
    <row r="8">
      <c r="A8" s="2" t="inlineStr">
        <is>
          <t>7</t>
        </is>
      </c>
      <c r="B8" s="2" t="inlineStr">
        <is>
          <t>Creator &amp; Talent Mgmt</t>
        </is>
      </c>
      <c r="C8" s="2" t="inlineStr">
        <is>
          <t>creator-management</t>
        </is>
      </c>
      <c r="D8" s="2" t="inlineStr">
        <is>
          <t>$5K–$15K + $1K–$3K/mo</t>
        </is>
      </c>
      <c r="E8" s="2" t="inlineStr">
        <is>
          <t>Blue Ocean</t>
        </is>
      </c>
      <c r="F8" s="2" t="inlineStr">
        <is>
          <t>Talent roster, contract management, deal pipeline, revenue tracking, content calendar, media kit</t>
        </is>
      </c>
      <c r="G8" s="2" t="inlineStr">
        <is>
          <t>Talent roster; Contract management; Deal pipeline; Revenue tracking; Content calendar; Media kit builder</t>
        </is>
      </c>
      <c r="H8" s="2" t="inlineStr">
        <is>
          <t>Talent Roster</t>
        </is>
      </c>
      <c r="I8" s="2" t="inlineStr">
        <is>
          <t>Contract Mgmt</t>
        </is>
      </c>
      <c r="J8" s="2" t="inlineStr">
        <is>
          <t>Deal Pipeline</t>
        </is>
      </c>
      <c r="K8" s="2" t="inlineStr">
        <is>
          <t>Revenue Tracking</t>
        </is>
      </c>
      <c r="L8" s="2" t="inlineStr">
        <is>
          <t>Content Calendar</t>
        </is>
      </c>
      <c r="M8" s="2" t="inlineStr">
        <is>
          <t>Media Kit Builder</t>
        </is>
      </c>
      <c r="N8" s="2" t="inlineStr">
        <is>
          <t>4–8 weeks</t>
        </is>
      </c>
      <c r="O8" s="2" t="inlineStr">
        <is>
          <t>Talent agencies, creator management companies, influencer management</t>
        </is>
      </c>
      <c r="P8" s="2" t="inlineStr">
        <is>
          <t>Spreadsheet talent tracking; no deal pipeline; manual contracts; no media kits</t>
        </is>
      </c>
      <c r="Q8" s="2" t="inlineStr">
        <is>
          <t>Starter</t>
        </is>
      </c>
      <c r="R8" s="2" t="inlineStr">
        <is>
          <t>$5K+$1K/mo</t>
        </is>
      </c>
      <c r="S8" s="2" t="inlineStr">
        <is>
          <t>Growth</t>
        </is>
      </c>
      <c r="T8" s="2" t="inlineStr">
        <is>
          <t>$10K+$2K/mo</t>
        </is>
      </c>
      <c r="U8" s="2" t="inlineStr">
        <is>
          <t>Scale</t>
        </is>
      </c>
      <c r="V8" s="2" t="inlineStr">
        <is>
          <t>$15K+$3K/mo</t>
        </is>
      </c>
      <c r="W8" s="2" t="inlineStr">
        <is>
          <t>Talent Agency</t>
        </is>
      </c>
      <c r="X8" s="2" t="inlineStr">
        <is>
          <t>Creator and talent management with roster, contracts, deal pipeline, revenue tracking, content calendar, and media kit builder. Built for agencies managing creators and influencers.</t>
        </is>
      </c>
      <c r="Y8" s="2" t="inlineStr">
        <is>
          <t>Talent Roster, Contract Management, Deal Pipeline, Revenue Tracking, Content Calendar, Media Kits</t>
        </is>
      </c>
      <c r="Z8" s="2" t="inlineStr">
        <is>
          <t>Creator Management Platform | Talent Agency Software | [Brand]</t>
        </is>
      </c>
      <c r="AA8" s="2" t="inlineStr">
        <is>
          <t>Manage creators with talent rosters, deal pipelines, contracts, and media kits. Revenue tracking and content calendar included.</t>
        </is>
      </c>
      <c r="AB8" s="2" t="inlineStr">
        <is>
          <t>talent management software, creator management platform, influencer agency software, talent agency CRM</t>
        </is>
      </c>
      <c r="AC8" s="2" t="inlineStr">
        <is>
          <t>creator deal pipeline, media kit builder, talent roster management, influencer contract management</t>
        </is>
      </c>
      <c r="AD8" s="2" t="inlineStr">
        <is>
          <t>Landing → Platform Demo → Talent Roster → Deal Pipeline → Media Kits → Pricing → CTA</t>
        </is>
      </c>
      <c r="AE8" s="2" t="inlineStr">
        <is>
          <t>Manage talent like a powerhouse. Every deal, every contract, every creator.</t>
        </is>
      </c>
      <c r="AF8" s="2" t="inlineStr">
        <is>
          <t>Talent rosters, deal pipelines, contracts, and media kits for modern creator agencies.</t>
        </is>
      </c>
      <c r="AG8" s="2" t="inlineStr">
        <is>
          <t>See a Talent Platform Demo</t>
        </is>
      </c>
      <c r="AH8" s="2" t="inlineStr">
        <is>
          <t>50+ agencies; streamlined deal flow; automated media kits; revenue tracking</t>
        </is>
      </c>
      <c r="AI8" s="2" t="inlineStr">
        <is>
          <t>Platform screenshots; deal pipeline examples; agency testimonials; creator growth stats</t>
        </is>
      </c>
      <c r="AJ8" s="2" t="inlineStr">
        <is>
          <t>Creator Economy, Talent Management, Influencer Marketing, Agency Operations</t>
        </is>
      </c>
      <c r="AK8" s="2" t="inlineStr">
        <is>
          <t>Free Talent Operations Assessment</t>
        </is>
      </c>
      <c r="AL8" s="2" t="inlineStr">
        <is>
          <t>#E63946</t>
        </is>
      </c>
      <c r="AM8" s="2" t="inlineStr">
        <is>
          <t>Star/Spotlight icon</t>
        </is>
      </c>
      <c r="AN8" s="2" t="inlineStr">
        <is>
          <t>Starter → Growth → Scale; add media kit builder; add content calendar</t>
        </is>
      </c>
      <c r="AO8" s="2" t="inlineStr">
        <is>
          <t>Client Portal, Process Automation</t>
        </is>
      </c>
    </row>
    <row r="9">
      <c r="A9" s="2" t="inlineStr">
        <is>
          <t>8</t>
        </is>
      </c>
      <c r="B9" s="2" t="inlineStr">
        <is>
          <t>Productized Compliance Training</t>
        </is>
      </c>
      <c r="C9" s="2" t="inlineStr">
        <is>
          <t>compliance-productized</t>
        </is>
      </c>
      <c r="D9" s="2" t="inlineStr">
        <is>
          <t>$3K–$8K + $5–$10/employee</t>
        </is>
      </c>
      <c r="E9" s="2" t="inlineStr">
        <is>
          <t>Blue Ocean</t>
        </is>
      </c>
      <c r="F9" s="2" t="inlineStr">
        <is>
          <t>White-label portal, 8-course library, per-employee licensing, multi-company management, reseller pricing</t>
        </is>
      </c>
      <c r="G9" s="2" t="inlineStr">
        <is>
          <t>White-label portal; 8-course library; Per-employee licensing; Multi-company management; Reseller pricing; Regulatory updates</t>
        </is>
      </c>
      <c r="H9" s="2" t="inlineStr">
        <is>
          <t>White-Label Portal</t>
        </is>
      </c>
      <c r="I9" s="2" t="inlineStr">
        <is>
          <t>8-Course Library</t>
        </is>
      </c>
      <c r="J9" s="2" t="inlineStr">
        <is>
          <t>Per-Employee Licensing</t>
        </is>
      </c>
      <c r="K9" s="2" t="inlineStr">
        <is>
          <t>Multi-Company Mgmt</t>
        </is>
      </c>
      <c r="L9" s="2" t="inlineStr">
        <is>
          <t>Reseller Pricing</t>
        </is>
      </c>
      <c r="M9" s="2" t="inlineStr">
        <is>
          <t>Regulatory Updates</t>
        </is>
      </c>
      <c r="N9" s="2" t="inlineStr">
        <is>
          <t>2–4 weeks</t>
        </is>
      </c>
      <c r="O9" s="2" t="inlineStr">
        <is>
          <t>Training resellers, compliance consultants, HR outsourcing firms</t>
        </is>
      </c>
      <c r="P9" s="2" t="inlineStr">
        <is>
          <t>No scalable training product; manual course delivery; no multi-tenant; pricing complexity</t>
        </is>
      </c>
      <c r="Q9" s="2" t="inlineStr">
        <is>
          <t>Starter</t>
        </is>
      </c>
      <c r="R9" s="2" t="inlineStr">
        <is>
          <t>$3K+$5/emp</t>
        </is>
      </c>
      <c r="S9" s="2" t="inlineStr">
        <is>
          <t>Growth</t>
        </is>
      </c>
      <c r="T9" s="2" t="inlineStr">
        <is>
          <t>$5K+$7/emp</t>
        </is>
      </c>
      <c r="U9" s="2" t="inlineStr">
        <is>
          <t>Scale</t>
        </is>
      </c>
      <c r="V9" s="2" t="inlineStr">
        <is>
          <t>$8K+$10/emp</t>
        </is>
      </c>
      <c r="W9" s="2" t="inlineStr">
        <is>
          <t>Training Company</t>
        </is>
      </c>
      <c r="X9" s="2" t="inlineStr">
        <is>
          <t>White-label compliance training with 8-course library, per-employee licensing, and multi-company management. Reseller pricing engine and regulatory updates included.</t>
        </is>
      </c>
      <c r="Y9" s="2" t="inlineStr">
        <is>
          <t>White-Label Training, Course Library, Per-Employee Licensing, Multi-Company Portal, Reseller Pricing, Updates</t>
        </is>
      </c>
      <c r="Z9" s="2" t="inlineStr">
        <is>
          <t>Productized Compliance Training | White-Label Training Platform | [Brand]</t>
        </is>
      </c>
      <c r="AA9" s="2" t="inlineStr">
        <is>
          <t>Resell compliance training with white-label portals, per-employee licensing, and multi-company management. 8-course library with regulatory updates.</t>
        </is>
      </c>
      <c r="AB9" s="2" t="inlineStr">
        <is>
          <t>white label compliance training, reseller training platform, per-employee training licensing, compliance course library</t>
        </is>
      </c>
      <c r="AC9" s="2" t="inlineStr">
        <is>
          <t>HR compliance reseller, training product platform, multi-company training management</t>
        </is>
      </c>
      <c r="AD9" s="2" t="inlineStr">
        <is>
          <t>Landing → Reseller Program → Course Library → Multi-Company Demo → Pricing → CTA</t>
        </is>
      </c>
      <c r="AE9" s="2" t="inlineStr">
        <is>
          <t>Turn compliance training into a recurring revenue product</t>
        </is>
      </c>
      <c r="AF9" s="2" t="inlineStr">
        <is>
          <t>White-label courses, per-employee pricing, multi-company management. Your training product, your brand.</t>
        </is>
      </c>
      <c r="AG9" s="2" t="inlineStr">
        <is>
          <t>Explore the Reseller Program</t>
        </is>
      </c>
      <c r="AH9" s="2" t="inlineStr">
        <is>
          <t>200+ resellers; $5-$10/employee economics; 8-course library included</t>
        </is>
      </c>
      <c r="AI9" s="2" t="inlineStr">
        <is>
          <t>Revenue calculator; course previews; reseller testimonials; multi-company dashboard</t>
        </is>
      </c>
      <c r="AJ9" s="2" t="inlineStr">
        <is>
          <t>Compliance Product Strategy, Training Reselling, HR Outsourcing, Productized Services</t>
        </is>
      </c>
      <c r="AK9" s="2" t="inlineStr">
        <is>
          <t>Free Reseller Revenue Calculator</t>
        </is>
      </c>
      <c r="AL9" s="2" t="inlineStr">
        <is>
          <t>#FF6B35</t>
        </is>
      </c>
      <c r="AM9" s="2" t="inlineStr">
        <is>
          <t>Package/Product icon</t>
        </is>
      </c>
      <c r="AN9" s="2" t="inlineStr">
        <is>
          <t>Starter → Growth → Scale; add courses; add companies; per-employee expansion</t>
        </is>
      </c>
      <c r="AO9" s="2" t="inlineStr">
        <is>
          <t>Compliance Training, Managed Services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Y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28" customWidth="1" min="37" max="37"/>
    <col width="28" customWidth="1" min="38" max="38"/>
    <col width="28" customWidth="1" min="39" max="39"/>
    <col width="28" customWidth="1" min="40" max="40"/>
    <col width="28" customWidth="1" min="41" max="41"/>
    <col width="28" customWidth="1" min="42" max="42"/>
    <col width="28" customWidth="1" min="43" max="43"/>
    <col width="28" customWidth="1" min="44" max="44"/>
    <col width="28" customWidth="1" min="45" max="45"/>
    <col width="28" customWidth="1" min="46" max="46"/>
    <col width="28" customWidth="1" min="47" max="47"/>
    <col width="28" customWidth="1" min="48" max="48"/>
    <col width="28" customWidth="1" min="49" max="49"/>
    <col width="28" customWidth="1" min="50" max="50"/>
    <col width="28" customWidth="1" min="51" max="51"/>
  </cols>
  <sheetData>
    <row r="1">
      <c r="A1" s="1" t="inlineStr">
        <is>
          <t>Industry Category</t>
        </is>
      </c>
      <c r="B1" s="1" t="inlineStr">
        <is>
          <t>Auto-Detect Keywords</t>
        </is>
      </c>
      <c r="C1" s="1" t="inlineStr">
        <is>
          <t>Pain Points (Template)</t>
        </is>
      </c>
      <c r="D1" s="1" t="inlineStr">
        <is>
          <t>Urgency Signals</t>
        </is>
      </c>
      <c r="E1" s="1" t="inlineStr">
        <is>
          <t>Offers</t>
        </is>
      </c>
      <c r="F1" s="1" t="inlineStr">
        <is>
          <t>Assessment Question 1</t>
        </is>
      </c>
      <c r="G1" s="1" t="inlineStr">
        <is>
          <t>Assessment Question 2</t>
        </is>
      </c>
      <c r="H1" s="1" t="inlineStr">
        <is>
          <t>Assessment Question 3</t>
        </is>
      </c>
      <c r="I1" s="1" t="inlineStr">
        <is>
          <t>Assessment Question 4</t>
        </is>
      </c>
      <c r="J1" s="1" t="inlineStr">
        <is>
          <t>Assessment Question 5</t>
        </is>
      </c>
      <c r="K1" s="1" t="inlineStr">
        <is>
          <t>Assessment Question 6</t>
        </is>
      </c>
      <c r="L1" s="1" t="inlineStr">
        <is>
          <t>Assessment Question 7</t>
        </is>
      </c>
      <c r="M1" s="1" t="inlineStr">
        <is>
          <t>Scoring: Intent Weight</t>
        </is>
      </c>
      <c r="N1" s="1" t="inlineStr">
        <is>
          <t>Scoring: Fit Weight</t>
        </is>
      </c>
      <c r="O1" s="1" t="inlineStr">
        <is>
          <t>Scoring: Engagement Weight</t>
        </is>
      </c>
      <c r="P1" s="1" t="inlineStr">
        <is>
          <t>Scoring: Urgency Weight</t>
        </is>
      </c>
      <c r="Q1" s="1" t="inlineStr">
        <is>
          <t>Cold Headline</t>
        </is>
      </c>
      <c r="R1" s="1" t="inlineStr">
        <is>
          <t>Cold Subheadline</t>
        </is>
      </c>
      <c r="S1" s="1" t="inlineStr">
        <is>
          <t>Cold CTA</t>
        </is>
      </c>
      <c r="T1" s="1" t="inlineStr">
        <is>
          <t>Cold Social Proof</t>
        </is>
      </c>
      <c r="U1" s="1" t="inlineStr">
        <is>
          <t>Warm Headline</t>
        </is>
      </c>
      <c r="V1" s="1" t="inlineStr">
        <is>
          <t>Warm Subheadline</t>
        </is>
      </c>
      <c r="W1" s="1" t="inlineStr">
        <is>
          <t>Warm CTA</t>
        </is>
      </c>
      <c r="X1" s="1" t="inlineStr">
        <is>
          <t>Warm Social Proof</t>
        </is>
      </c>
      <c r="Y1" s="1" t="inlineStr">
        <is>
          <t>Hot Headline</t>
        </is>
      </c>
      <c r="Z1" s="1" t="inlineStr">
        <is>
          <t>Hot Subheadline</t>
        </is>
      </c>
      <c r="AA1" s="1" t="inlineStr">
        <is>
          <t>Hot CTA</t>
        </is>
      </c>
      <c r="AB1" s="1" t="inlineStr">
        <is>
          <t>Hot Social Proof</t>
        </is>
      </c>
      <c r="AC1" s="1" t="inlineStr">
        <is>
          <t>Burning Headline</t>
        </is>
      </c>
      <c r="AD1" s="1" t="inlineStr">
        <is>
          <t>Burning Subheadline</t>
        </is>
      </c>
      <c r="AE1" s="1" t="inlineStr">
        <is>
          <t>Burning CTA</t>
        </is>
      </c>
      <c r="AF1" s="1" t="inlineStr">
        <is>
          <t>Burning Social Proof</t>
        </is>
      </c>
      <c r="AG1" s="1" t="inlineStr">
        <is>
          <t>Funnel Preferences</t>
        </is>
      </c>
      <c r="AH1" s="1" t="inlineStr">
        <is>
          <t>Nurture Subject 1</t>
        </is>
      </c>
      <c r="AI1" s="1" t="inlineStr">
        <is>
          <t>Nurture Subject 2</t>
        </is>
      </c>
      <c r="AJ1" s="1" t="inlineStr">
        <is>
          <t>Nurture Subject 3</t>
        </is>
      </c>
      <c r="AK1" s="1" t="inlineStr">
        <is>
          <t>Nurture Subject 4</t>
        </is>
      </c>
      <c r="AL1" s="1" t="inlineStr">
        <is>
          <t>Nurture Subject 5</t>
        </is>
      </c>
      <c r="AM1" s="1" t="inlineStr">
        <is>
          <t>Nurture Subject 6</t>
        </is>
      </c>
      <c r="AN1" s="1" t="inlineStr">
        <is>
          <t>Nurture Subject 7</t>
        </is>
      </c>
      <c r="AO1" s="1" t="inlineStr">
        <is>
          <t>GMB Primary Category</t>
        </is>
      </c>
      <c r="AP1" s="1" t="inlineStr">
        <is>
          <t>GMB Service Keywords</t>
        </is>
      </c>
      <c r="AQ1" s="1" t="inlineStr">
        <is>
          <t>SEO Title Pattern</t>
        </is>
      </c>
      <c r="AR1" s="1" t="inlineStr">
        <is>
          <t>SEO Description Pattern</t>
        </is>
      </c>
      <c r="AS1" s="1" t="inlineStr">
        <is>
          <t>SEO Content Clusters</t>
        </is>
      </c>
      <c r="AT1" s="1" t="inlineStr">
        <is>
          <t>Directory Listing Categories</t>
        </is>
      </c>
      <c r="AU1" s="1" t="inlineStr">
        <is>
          <t>Design Primary Color</t>
        </is>
      </c>
      <c r="AV1" s="1" t="inlineStr">
        <is>
          <t>Design Mood</t>
        </is>
      </c>
      <c r="AW1" s="1" t="inlineStr">
        <is>
          <t>Design Font Pairing</t>
        </is>
      </c>
      <c r="AX1" s="1" t="inlineStr">
        <is>
          <t>Authority Site Topics</t>
        </is>
      </c>
      <c r="AY1" s="1" t="inlineStr">
        <is>
          <t>Website Template Type</t>
        </is>
      </c>
    </row>
    <row r="2">
      <c r="A2" s="2" t="inlineStr">
        <is>
          <t>Service</t>
        </is>
      </c>
      <c r="B2" s="2" t="inlineStr">
        <is>
          <t>plumb, electric, hvac, roof, construct, clean, landscap, pest, garage, painting, fencing, gutter, siding, window, flooring</t>
        </is>
      </c>
      <c r="C2" s="2" t="inlineStr">
        <is>
          <t>Missed calls costing revenue; Manual scheduling wastes hours; No repeat customer system; Word-of-mouth vulnerability; Disorganized quoting; Stuck in the business</t>
        </is>
      </c>
      <c r="D2" s="2" t="inlineStr">
        <is>
          <t>seasonal rush, booked out, losing customers, competitor opened nearby, need help now, can not keep up, hiring, expanding</t>
        </is>
      </c>
      <c r="E2" s="2" t="inlineStr">
        <is>
          <t>Done-for-you lead capture; Automated booking/dispatch; Review generation engine; Win-back campaigns; Local SEO optimization</t>
        </is>
      </c>
      <c r="F2" s="2" t="inlineStr">
        <is>
          <t>How quickly do you respond to inquiries?</t>
        </is>
      </c>
      <c r="G2" s="2" t="inlineStr">
        <is>
          <t>How many new leads per month?</t>
        </is>
      </c>
      <c r="H2" s="2" t="inlineStr">
        <is>
          <t>Do you have automated follow-up?</t>
        </is>
      </c>
      <c r="I2" s="2" t="inlineStr">
        <is>
          <t>What % revenue from repeat customers?</t>
        </is>
      </c>
      <c r="J2" s="2" t="inlineStr">
        <is>
          <t>How do you collect reviews?</t>
        </is>
      </c>
      <c r="K2" s="2" t="inlineStr">
        <is>
          <t>Rate your online visibility</t>
        </is>
      </c>
      <c r="L2" s="2" t="inlineStr">
        <is>
          <t>What is your biggest growth bottleneck?</t>
        </is>
      </c>
      <c r="M2" s="2" t="inlineStr">
        <is>
          <t>0.30</t>
        </is>
      </c>
      <c r="N2" s="2" t="inlineStr">
        <is>
          <t>0.25</t>
        </is>
      </c>
      <c r="O2" s="2" t="inlineStr">
        <is>
          <t>0.25</t>
        </is>
      </c>
      <c r="P2" s="2" t="inlineStr">
        <is>
          <t>0.20</t>
        </is>
      </c>
      <c r="Q2" s="2" t="inlineStr">
        <is>
          <t>Stop losing {{niche}} jobs to competitors who respond faster</t>
        </is>
      </c>
      <c r="R2" s="2" t="inlineStr">
        <is>
          <t>See how {{niche}} businesses capture and convert more leads without adding staff.</t>
        </is>
      </c>
      <c r="S2" s="2" t="inlineStr">
        <is>
          <t>Get Your Free Assessment</t>
        </is>
      </c>
      <c r="T2" s="2" t="inlineStr">
        <is>
          <t>Trusted by 200+ {{niche}} businesses across the country</t>
        </is>
      </c>
      <c r="U2" s="2" t="inlineStr">
        <is>
          <t>You are researching how to grow your {{niche}} business. Here is the fastest path.</t>
        </is>
      </c>
      <c r="V2" s="2" t="inlineStr">
        <is>
          <t>Based on what you have explored, a quick diagnostic will pinpoint your biggest opportunity.</t>
        </is>
      </c>
      <c r="W2" s="2" t="inlineStr">
        <is>
          <t>Take the 2-Minute Assessment</t>
        </is>
      </c>
      <c r="X2" s="2" t="inlineStr">
        <is>
          <t>Most {{niche}} businesses see results within the first 30 days</t>
        </is>
      </c>
      <c r="Y2" s="2" t="inlineStr">
        <is>
          <t>Ready to fill your {{niche}} schedule? Let us build your system this week.</t>
        </is>
      </c>
      <c r="Z2" s="2" t="inlineStr">
        <is>
          <t>Book a strategy session and get a concrete plan tailored to your {{niche}} business.</t>
        </is>
      </c>
      <c r="AA2" s="2" t="inlineStr">
        <is>
          <t>Book Your Strategy Session</t>
        </is>
      </c>
      <c r="AB2" s="2" t="inlineStr">
        <is>
          <t>93% of {{niche}} strategy session attendees move forward within 2 weeks</t>
        </is>
      </c>
      <c r="AC2" s="2" t="inlineStr">
        <is>
          <t>Your {{niche}} growth engine is ready. Let us launch it today.</t>
        </is>
      </c>
      <c r="AD2" s="2" t="inlineStr">
        <is>
          <t>We have everything configured for your {{niche}} business. Pick a time to go live.</t>
        </is>
      </c>
      <c r="AE2" s="2" t="inlineStr">
        <is>
          <t>Start Now</t>
        </is>
      </c>
      <c r="AF2" s="2" t="inlineStr">
        <is>
          <t>Average 47% increase in qualified {{niche}} leads within 60 days</t>
        </is>
      </c>
      <c r="AG2" s="2" t="inlineStr">
        <is>
          <t>lead-magnet, qualification, chat, retention</t>
        </is>
      </c>
      <c r="AH2" s="2" t="inlineStr">
        <is>
          <t>Your {{niche}} growth roadmap is inside</t>
        </is>
      </c>
      <c r="AI2" s="2" t="inlineStr">
        <is>
          <t>The #1 mistake {{niche}} businesses make with leads</t>
        </is>
      </c>
      <c r="AJ2" s="2" t="inlineStr">
        <is>
          <t>How [Company] doubled their {{niche}} bookings in 30 days</t>
        </is>
      </c>
      <c r="AK2" s="2" t="inlineStr">
        <is>
          <t>3 automations every {{niche}} business should run</t>
        </is>
      </c>
      <c r="AL2" s="2" t="inlineStr">
        <is>
          <t>We saved a spot for your {{niche}} strategy session</t>
        </is>
      </c>
      <c r="AM2" s="2" t="inlineStr">
        <is>
          <t>Last chance: your {{niche}} assessment results expire soon</t>
        </is>
      </c>
      <c r="AN2" s="2" t="inlineStr">
        <is>
          <t>What top {{niche}} businesses do differently</t>
        </is>
      </c>
      <c r="AO2" s="2" t="inlineStr">
        <is>
          <t>Home Services Provider</t>
        </is>
      </c>
      <c r="AP2" s="2" t="inlineStr">
        <is>
          <t>plumbing leads, HVAC leads, electrical contractor leads, roofing leads, cleaning leads</t>
        </is>
      </c>
      <c r="AQ2" s="2" t="inlineStr">
        <is>
          <t>{{Niche}} Lead Generation | Automated Booking &amp; Follow-Up | [Brand]</t>
        </is>
      </c>
      <c r="AR2" s="2" t="inlineStr">
        <is>
          <t>Get more {{niche}} customers with automated lead capture, booking, and follow-up. Free assessment included.</t>
        </is>
      </c>
      <c r="AS2" s="2" t="inlineStr">
        <is>
          <t>Lead Generation, Local SEO, Customer Retention, Review Management, Booking Automation</t>
        </is>
      </c>
      <c r="AT2" s="2" t="inlineStr">
        <is>
          <t>Home Services, Contractors, Local Services, Professional Services</t>
        </is>
      </c>
      <c r="AU2" s="2" t="inlineStr">
        <is>
          <t>#2D6A4F</t>
        </is>
      </c>
      <c r="AV2" s="2" t="inlineStr">
        <is>
          <t>Trustworthy, Local, Professional</t>
        </is>
      </c>
      <c r="AW2" s="2" t="inlineStr">
        <is>
          <t>Inter / Source Sans Pro</t>
        </is>
      </c>
      <c r="AX2" s="2" t="inlineStr">
        <is>
          <t>{{Niche}} Growth Tips, Local Marketing, Customer Retention, Seasonal Strategies</t>
        </is>
      </c>
      <c r="AY2" s="2" t="inlineStr">
        <is>
          <t>Service Business Landing + Assessment</t>
        </is>
      </c>
    </row>
    <row r="3">
      <c r="A3" s="2" t="inlineStr">
        <is>
          <t>Legal</t>
        </is>
      </c>
      <c r="B3" s="2" t="inlineStr">
        <is>
          <t>law, legal, attorney, lawyer, litigation, paralegal, barrister, solicitor</t>
        </is>
      </c>
      <c r="C3" s="2" t="inlineStr">
        <is>
          <t>Intake forms take days; Manual conflict checks slow onboarding; More time on admin than billable; Consultations go cold; Hard to show marketing ROI; Communication gaps create malpractice risk; Compliance fragmented</t>
        </is>
      </c>
      <c r="D3" s="2" t="inlineStr">
        <is>
          <t>statute of limitations, court deadline, regulatory change, compliance audit, opposing counsel filed, client retention risk, bar complaint, insurance renewal</t>
        </is>
      </c>
      <c r="E3" s="2" t="inlineStr">
        <is>
          <t>Automated intake and conflict check; Case status portal; Compliance tracking; Referral network; Reputation engine</t>
        </is>
      </c>
      <c r="F3" s="2" t="inlineStr">
        <is>
          <t>How long to respond to new inquiries?</t>
        </is>
      </c>
      <c r="G3" s="2" t="inlineStr">
        <is>
          <t>How many consultations per month?</t>
        </is>
      </c>
      <c r="H3" s="2" t="inlineStr">
        <is>
          <t>Do you use automated intake?</t>
        </is>
      </c>
      <c r="I3" s="2" t="inlineStr">
        <is>
          <t>How do you track deadlines/compliance?</t>
        </is>
      </c>
      <c r="J3" s="2" t="inlineStr">
        <is>
          <t>Consultation-to-retention conversion rate?</t>
        </is>
      </c>
      <c r="K3" s="2" t="inlineStr">
        <is>
          <t>Rate client communication process</t>
        </is>
      </c>
      <c r="L3" s="2" t="inlineStr">
        <is>
          <t>Biggest operational challenge?</t>
        </is>
      </c>
      <c r="M3" s="2" t="inlineStr">
        <is>
          <t>0.25</t>
        </is>
      </c>
      <c r="N3" s="2" t="inlineStr">
        <is>
          <t>0.30</t>
        </is>
      </c>
      <c r="O3" s="2" t="inlineStr">
        <is>
          <t>0.20</t>
        </is>
      </c>
      <c r="P3" s="2" t="inlineStr">
        <is>
          <t>0.25</t>
        </is>
      </c>
      <c r="Q3" s="2" t="inlineStr">
        <is>
          <t>{{niche}} firms that automate intake convert 3x more consultations</t>
        </is>
      </c>
      <c r="R3" s="2" t="inlineStr">
        <is>
          <t>Discover how modern {{niche}} practices eliminate intake bottlenecks and reduce admin overhead.</t>
        </is>
      </c>
      <c r="S3" s="2" t="inlineStr">
        <is>
          <t>Get Your Intake Assessment</t>
        </is>
      </c>
      <c r="T3" s="2" t="inlineStr">
        <is>
          <t>Used by 150+ {{niche}} firms to streamline operations</t>
        </is>
      </c>
      <c r="U3" s="2" t="inlineStr">
        <is>
          <t>Your {{niche}} practice deserves a better intake process. See what is possible.</t>
        </is>
      </c>
      <c r="V3" s="2" t="inlineStr">
        <is>
          <t>You have been exploring solutions. Let us show you the fastest path to operational efficiency.</t>
        </is>
      </c>
      <c r="W3" s="2" t="inlineStr">
        <is>
          <t>See the Intake Blueprint</t>
        </is>
      </c>
      <c r="X3" s="2" t="inlineStr">
        <is>
          <t>Average 40% reduction in intake processing time</t>
        </is>
      </c>
      <c r="Y3" s="2" t="inlineStr">
        <is>
          <t>Let us build your {{niche}} firm's automated intake system this week</t>
        </is>
      </c>
      <c r="Z3" s="2" t="inlineStr">
        <is>
          <t>Book a strategy session and walk away with a blueprint tailored to your {{niche}} practice.</t>
        </is>
      </c>
      <c r="AA3" s="2" t="inlineStr">
        <is>
          <t>Book Your Strategy Session</t>
        </is>
      </c>
      <c r="AB3" s="2" t="inlineStr">
        <is>
          <t>92% of {{niche}} firms that book move forward within 2 weeks</t>
        </is>
      </c>
      <c r="AC3" s="2" t="inlineStr">
        <is>
          <t>Your {{niche}} intake system is configured. Let us go live.</t>
        </is>
      </c>
      <c r="AD3" s="2" t="inlineStr">
        <is>
          <t>Everything is ready for your practice. Pick a launch date.</t>
        </is>
      </c>
      <c r="AE3" s="2" t="inlineStr">
        <is>
          <t>Launch Now</t>
        </is>
      </c>
      <c r="AF3" s="2" t="inlineStr">
        <is>
          <t>Firms report 50% faster client onboarding after launch</t>
        </is>
      </c>
      <c r="AG3" s="2" t="inlineStr">
        <is>
          <t>qualification, authority, webinar, retention</t>
        </is>
      </c>
      <c r="AH3" s="2" t="inlineStr">
        <is>
          <t>Your {{niche}} intake efficiency report is ready</t>
        </is>
      </c>
      <c r="AI3" s="2" t="inlineStr">
        <is>
          <t>Why top {{niche}} firms never miss a follow-up</t>
        </is>
      </c>
      <c r="AJ3" s="2" t="inlineStr">
        <is>
          <t>Case study: how [Firm] cut intake time by 60%</t>
        </is>
      </c>
      <c r="AK3" s="2" t="inlineStr">
        <is>
          <t>3 compliance risks hiding in your {{niche}} workflow</t>
        </is>
      </c>
      <c r="AL3" s="2" t="inlineStr">
        <is>
          <t>Your strategy session slot is reserved</t>
        </is>
      </c>
      <c r="AM3" s="2" t="inlineStr">
        <is>
          <t>Final reminder: your {{niche}} assessment expires tomorrow</t>
        </is>
      </c>
      <c r="AN3" s="2" t="inlineStr">
        <is>
          <t>What elite {{niche}} practices do that average ones do not</t>
        </is>
      </c>
      <c r="AO3" s="2" t="inlineStr">
        <is>
          <t>Law Firm</t>
        </is>
      </c>
      <c r="AP3" s="2" t="inlineStr">
        <is>
          <t>legal intake automation, law firm CRM, legal case management, attorney marketing</t>
        </is>
      </c>
      <c r="AQ3" s="2" t="inlineStr">
        <is>
          <t>{{Niche}} Practice Automation | Client Intake &amp; Compliance | [Brand]</t>
        </is>
      </c>
      <c r="AR3" s="2" t="inlineStr">
        <is>
          <t>Automate {{niche}} intake, compliance tracking, and client communication. Used by 150+ firms.</t>
        </is>
      </c>
      <c r="AS3" s="2" t="inlineStr">
        <is>
          <t>Legal Intake, Compliance Tracking, Client Communication, Case Management, Attorney Marketing</t>
        </is>
      </c>
      <c r="AT3" s="2" t="inlineStr">
        <is>
          <t>Law Firm, Legal Services, Attorney, Legal Practice</t>
        </is>
      </c>
      <c r="AU3" s="2" t="inlineStr">
        <is>
          <t>#14213D</t>
        </is>
      </c>
      <c r="AV3" s="2" t="inlineStr">
        <is>
          <t>Authoritative, Precise, Trustworthy</t>
        </is>
      </c>
      <c r="AW3" s="2" t="inlineStr">
        <is>
          <t>Playfair Display / Lato</t>
        </is>
      </c>
      <c r="AX3" s="2" t="inlineStr">
        <is>
          <t>Legal Tech, Practice Management, Compliance, Client Intake Best Practices</t>
        </is>
      </c>
      <c r="AY3" s="2" t="inlineStr">
        <is>
          <t>Professional Services Landing + Intake Assessment</t>
        </is>
      </c>
    </row>
    <row r="4">
      <c r="A4" s="2" t="inlineStr">
        <is>
          <t>Health</t>
        </is>
      </c>
      <c r="B4" s="2" t="inlineStr">
        <is>
          <t>doctor, clinic, dental, medical, health, wellness, chiropractic, therapy, therapist, optometr, dermatolog, pediatr, physiotherapy, veterinar, pharma, mental</t>
        </is>
      </c>
      <c r="C4" s="2" t="inlineStr">
        <is>
          <t>Lose patients to faster schedulers; Insurance verification delays; Staff turnover; Documentation hours; Follow-up gaps; No dormant patient reactivation; Manual compliance</t>
        </is>
      </c>
      <c r="D4" s="2" t="inlineStr">
        <is>
          <t>accreditation deadline, patient safety, staff shortage, insurance panel change, HIPAA audit, EHR migration, patient complaints, revenue declining</t>
        </is>
      </c>
      <c r="E4" s="2" t="inlineStr">
        <is>
          <t>Automated scheduling and reminders; Patient reactivation campaigns; Online intake and pre-verification; Review management; Staff onboarding automation</t>
        </is>
      </c>
      <c r="F4" s="2" t="inlineStr">
        <is>
          <t>What is your no-show rate?</t>
        </is>
      </c>
      <c r="G4" s="2" t="inlineStr">
        <is>
          <t>How do you handle scheduling?</t>
        </is>
      </c>
      <c r="H4" s="2" t="inlineStr">
        <is>
          <t>Do you send automated reminders?</t>
        </is>
      </c>
      <c r="I4" s="2" t="inlineStr">
        <is>
          <t>How many active patients?</t>
        </is>
      </c>
      <c r="J4" s="2" t="inlineStr">
        <is>
          <t>How do you re-engage inactive patients?</t>
        </is>
      </c>
      <c r="K4" s="2" t="inlineStr">
        <is>
          <t>Rate digital patient experience</t>
        </is>
      </c>
      <c r="L4" s="2" t="inlineStr">
        <is>
          <t>Top operational priority?</t>
        </is>
      </c>
      <c r="M4" s="2" t="inlineStr">
        <is>
          <t>0.25</t>
        </is>
      </c>
      <c r="N4" s="2" t="inlineStr">
        <is>
          <t>0.30</t>
        </is>
      </c>
      <c r="O4" s="2" t="inlineStr">
        <is>
          <t>0.20</t>
        </is>
      </c>
      <c r="P4" s="2" t="inlineStr">
        <is>
          <t>0.25</t>
        </is>
      </c>
      <c r="Q4" s="2" t="inlineStr">
        <is>
          <t>{{niche}} practices that automate scheduling cut no-shows by 40%</t>
        </is>
      </c>
      <c r="R4" s="2" t="inlineStr">
        <is>
          <t>See how leading {{niche}} providers fill their schedule and reduce admin burden.</t>
        </is>
      </c>
      <c r="S4" s="2" t="inlineStr">
        <is>
          <t>Get Your Practice Assessment</t>
        </is>
      </c>
      <c r="T4" s="2" t="inlineStr">
        <is>
          <t>Trusted by 300+ {{niche}} practices nationwide</t>
        </is>
      </c>
      <c r="U4" s="2" t="inlineStr">
        <is>
          <t>You are looking for ways to grow your {{niche}} practice. Start here.</t>
        </is>
      </c>
      <c r="V4" s="2" t="inlineStr">
        <is>
          <t>A quick diagnostic will reveal your biggest opportunities for patient growth and retention.</t>
        </is>
      </c>
      <c r="W4" s="2" t="inlineStr">
        <is>
          <t>Take the Practice Assessment</t>
        </is>
      </c>
      <c r="X4" s="2" t="inlineStr">
        <is>
          <t>Practices see 25% more appointments within 60 days</t>
        </is>
      </c>
      <c r="Y4" s="2" t="inlineStr">
        <is>
          <t>Let us build your {{niche}} patient growth engine this week</t>
        </is>
      </c>
      <c r="Z4" s="2" t="inlineStr">
        <is>
          <t>Book a strategy call and get a plan designed for your specific {{niche}} practice.</t>
        </is>
      </c>
      <c r="AA4" s="2" t="inlineStr">
        <is>
          <t>Book Your Strategy Call</t>
        </is>
      </c>
      <c r="AB4" s="2" t="inlineStr">
        <is>
          <t>91% of practices that book a call move forward within 2 weeks</t>
        </is>
      </c>
      <c r="AC4" s="2" t="inlineStr">
        <is>
          <t>Your {{niche}} patient system is ready. Let us turn it on.</t>
        </is>
      </c>
      <c r="AD4" s="2" t="inlineStr">
        <is>
          <t>Everything is configured. Choose your launch date and start filling your schedule.</t>
        </is>
      </c>
      <c r="AE4" s="2" t="inlineStr">
        <is>
          <t>Go Live Now</t>
        </is>
      </c>
      <c r="AF4" s="2" t="inlineStr">
        <is>
          <t>Average 35% increase in new patient volume within 90 days</t>
        </is>
      </c>
      <c r="AG4" s="2" t="inlineStr">
        <is>
          <t>qualification, lead-magnet, chat, retention</t>
        </is>
      </c>
      <c r="AH4" s="2" t="inlineStr">
        <is>
          <t>Your {{niche}} practice growth report is ready</t>
        </is>
      </c>
      <c r="AI4" s="2" t="inlineStr">
        <is>
          <t>The hidden cost of no-shows in {{niche}} practices</t>
        </is>
      </c>
      <c r="AJ4" s="2" t="inlineStr">
        <is>
          <t>How [Practice] added 50 patients per month with automation</t>
        </is>
      </c>
      <c r="AK4" s="2" t="inlineStr">
        <is>
          <t>3 patient experience gaps most {{niche}} practices miss</t>
        </is>
      </c>
      <c r="AL4" s="2" t="inlineStr">
        <is>
          <t>Your strategy call is waiting</t>
        </is>
      </c>
      <c r="AM4" s="2" t="inlineStr">
        <is>
          <t>Last chance: your {{niche}} assessment results expire soon</t>
        </is>
      </c>
      <c r="AN4" s="2" t="inlineStr">
        <is>
          <t>What high-growth {{niche}} practices do differently</t>
        </is>
      </c>
      <c r="AO4" s="2" t="inlineStr">
        <is>
          <t>Medical Practice</t>
        </is>
      </c>
      <c r="AP4" s="2" t="inlineStr">
        <is>
          <t>patient scheduling software, dental practice automation, medical practice CRM, healthcare marketing</t>
        </is>
      </c>
      <c r="AQ4" s="2" t="inlineStr">
        <is>
          <t>{{Niche}} Practice Growth | Patient Scheduling &amp; Retention | [Brand]</t>
        </is>
      </c>
      <c r="AR4" s="2" t="inlineStr">
        <is>
          <t>Grow your {{niche}} practice with automated scheduling, patient reactivation, and review management.</t>
        </is>
      </c>
      <c r="AS4" s="2" t="inlineStr">
        <is>
          <t>Patient Scheduling, No-Show Reduction, Patient Retention, Practice Growth, Review Management</t>
        </is>
      </c>
      <c r="AT4" s="2" t="inlineStr">
        <is>
          <t>Healthcare Provider, Medical Practice, Dental Practice, Wellness Center</t>
        </is>
      </c>
      <c r="AU4" s="2" t="inlineStr">
        <is>
          <t>#2A9D8F</t>
        </is>
      </c>
      <c r="AV4" s="2" t="inlineStr">
        <is>
          <t>Caring, Clean, Professional</t>
        </is>
      </c>
      <c r="AW4" s="2" t="inlineStr">
        <is>
          <t>Inter / Open Sans</t>
        </is>
      </c>
      <c r="AX4" s="2" t="inlineStr">
        <is>
          <t>Patient Experience, Practice Growth, Healthcare Tech, Compliance</t>
        </is>
      </c>
      <c r="AY4" s="2" t="inlineStr">
        <is>
          <t>Healthcare Landing + Practice Assessment</t>
        </is>
      </c>
    </row>
    <row r="5">
      <c r="A5" s="2" t="inlineStr">
        <is>
          <t>Tech</t>
        </is>
      </c>
      <c r="B5" s="2" t="inlineStr">
        <is>
          <t>software, saas, app, platform, startup, fintech, devops, cybersecurity, ai, machine learning</t>
        </is>
      </c>
      <c r="C5" s="2" t="inlineStr">
        <is>
          <t>Lose trial users to complex onboarding; High churn signals poor activation; Wasted demos on unqualified leads; No product-led growth; No feature-to-conversion visibility; Support ticket overload</t>
        </is>
      </c>
      <c r="D5" s="2" t="inlineStr">
        <is>
          <t>funding round, board meeting, competitor launched, churn spike, scaling challenges, hiring freeze, product launch, renewal season</t>
        </is>
      </c>
      <c r="E5" s="2" t="inlineStr">
        <is>
          <t>Product-led onboarding audit; Trial-to-paid conversion sequences; Customer health scoring; Self-service knowledge base; Usage-based lead scoring</t>
        </is>
      </c>
      <c r="F5" s="2" t="inlineStr">
        <is>
          <t>Trial-to-paid conversion rate?</t>
        </is>
      </c>
      <c r="G5" s="2" t="inlineStr">
        <is>
          <t>How do you handle onboarding?</t>
        </is>
      </c>
      <c r="H5" s="2" t="inlineStr">
        <is>
          <t>Do you track usage for at-risk accounts?</t>
        </is>
      </c>
      <c r="I5" s="2" t="inlineStr">
        <is>
          <t>Monthly active users?</t>
        </is>
      </c>
      <c r="J5" s="2" t="inlineStr">
        <is>
          <t>Monthly churn rate?</t>
        </is>
      </c>
      <c r="K5" s="2" t="inlineStr">
        <is>
          <t>Rate self-service support capabilities</t>
        </is>
      </c>
      <c r="L5" s="2" t="inlineStr">
        <is>
          <t>Biggest growth challenge?</t>
        </is>
      </c>
      <c r="M5" s="2" t="inlineStr">
        <is>
          <t>0.30</t>
        </is>
      </c>
      <c r="N5" s="2" t="inlineStr">
        <is>
          <t>0.20</t>
        </is>
      </c>
      <c r="O5" s="2" t="inlineStr">
        <is>
          <t>0.30</t>
        </is>
      </c>
      <c r="P5" s="2" t="inlineStr">
        <is>
          <t>0.20</t>
        </is>
      </c>
      <c r="Q5" s="2" t="inlineStr">
        <is>
          <t>{{niche}} companies that automate onboarding convert 2x more trial users</t>
        </is>
      </c>
      <c r="R5" s="2" t="inlineStr">
        <is>
          <t>See how leading {{niche}} products turn signups into paying customers without manual hand-holding.</t>
        </is>
      </c>
      <c r="S5" s="2" t="inlineStr">
        <is>
          <t>Get Your Growth Assessment</t>
        </is>
      </c>
      <c r="T5" s="2" t="inlineStr">
        <is>
          <t>Used by 100+ {{niche}} companies to optimize their growth engine</t>
        </is>
      </c>
      <c r="U5" s="2" t="inlineStr">
        <is>
          <t>Looking to grow your {{niche}} product? Start with this diagnostic.</t>
        </is>
      </c>
      <c r="V5" s="2" t="inlineStr">
        <is>
          <t>A quick assessment reveals the biggest leaks in your conversion funnel.</t>
        </is>
      </c>
      <c r="W5" s="2" t="inlineStr">
        <is>
          <t>Run the Diagnostic</t>
        </is>
      </c>
      <c r="X5" s="2" t="inlineStr">
        <is>
          <t>Average 30% improvement in trial conversion within 90 days</t>
        </is>
      </c>
      <c r="Y5" s="2" t="inlineStr">
        <is>
          <t>Let us architect your {{niche}} growth system this week</t>
        </is>
      </c>
      <c r="Z5" s="2" t="inlineStr">
        <is>
          <t>Book a strategy session and get a blueprint for automated user activation and conversion.</t>
        </is>
      </c>
      <c r="AA5" s="2" t="inlineStr">
        <is>
          <t>Book Your Strategy Session</t>
        </is>
      </c>
      <c r="AB5" s="2" t="inlineStr">
        <is>
          <t>90% of {{niche}} teams that book move forward within 2 weeks</t>
        </is>
      </c>
      <c r="AC5" s="2" t="inlineStr">
        <is>
          <t>Your {{niche}} growth engine is staged. Let us deploy it.</t>
        </is>
      </c>
      <c r="AD5" s="2" t="inlineStr">
        <is>
          <t>Your onboarding and conversion sequences are ready. Pick a launch date.</t>
        </is>
      </c>
      <c r="AE5" s="2" t="inlineStr">
        <is>
          <t>Deploy Now</t>
        </is>
      </c>
      <c r="AF5" s="2" t="inlineStr">
        <is>
          <t>Average 45% reduction in time-to-value after deployment</t>
        </is>
      </c>
      <c r="AG5" s="2" t="inlineStr">
        <is>
          <t>lead-magnet, webinar, qualification, continuity</t>
        </is>
      </c>
      <c r="AH5" s="2" t="inlineStr">
        <is>
          <t>Your {{niche}} growth audit results are inside</t>
        </is>
      </c>
      <c r="AI5" s="2" t="inlineStr">
        <is>
          <t>Why 80% of {{niche}} trial users never activate</t>
        </is>
      </c>
      <c r="AJ5" s="2" t="inlineStr">
        <is>
          <t>How [Company] cut churn 40% with automated onboarding</t>
        </is>
      </c>
      <c r="AK5" s="2" t="inlineStr">
        <is>
          <t>3 product-led growth plays for {{niche}} companies</t>
        </is>
      </c>
      <c r="AL5" s="2" t="inlineStr">
        <is>
          <t>Your strategy session is reserved</t>
        </is>
      </c>
      <c r="AM5" s="2" t="inlineStr">
        <is>
          <t>Final reminder: your {{niche}} growth report expires soon</t>
        </is>
      </c>
      <c r="AN5" s="2" t="inlineStr">
        <is>
          <t>The playbook top {{niche}} products use to scale</t>
        </is>
      </c>
      <c r="AO5" s="2" t="inlineStr">
        <is>
          <t>Software Company</t>
        </is>
      </c>
      <c r="AP5" s="2" t="inlineStr">
        <is>
          <t>SaaS growth platform, product-led growth tools, trial conversion optimization, customer health scoring</t>
        </is>
      </c>
      <c r="AQ5" s="2" t="inlineStr">
        <is>
          <t>{{Niche}} Growth Engine | Trial Conversion &amp; Retention | [Brand]</t>
        </is>
      </c>
      <c r="AR5" s="2" t="inlineStr">
        <is>
          <t>Optimize {{niche}} growth with automated onboarding, health scoring, and churn prediction.</t>
        </is>
      </c>
      <c r="AS5" s="2" t="inlineStr">
        <is>
          <t>Product-Led Growth, Trial Conversion, Customer Health, Churn Reduction, SaaS Metrics</t>
        </is>
      </c>
      <c r="AT5" s="2" t="inlineStr">
        <is>
          <t>Software Company, Technology Platform, SaaS, IT Services</t>
        </is>
      </c>
      <c r="AU5" s="2" t="inlineStr">
        <is>
          <t>#0A1628</t>
        </is>
      </c>
      <c r="AV5" s="2" t="inlineStr">
        <is>
          <t>Modern, Technical, Data-Driven</t>
        </is>
      </c>
      <c r="AW5" s="2" t="inlineStr">
        <is>
          <t>Space Grotesk / Inter</t>
        </is>
      </c>
      <c r="AX5" s="2" t="inlineStr">
        <is>
          <t>Product-Led Growth, SaaS Metrics, User Activation, Churn Prevention</t>
        </is>
      </c>
      <c r="AY5" s="2" t="inlineStr">
        <is>
          <t>SaaS Landing + Growth Assessment</t>
        </is>
      </c>
    </row>
    <row r="6">
      <c r="A6" s="2" t="inlineStr">
        <is>
          <t>Construction</t>
        </is>
      </c>
      <c r="B6" s="2" t="inlineStr">
        <is>
          <t>contractor, builder, construction, trades, remodel, renovation, excavat, paving, concrete, framing, drywall</t>
        </is>
      </c>
      <c r="C6" s="2" t="inlineStr">
        <is>
          <t>Slow bid responses cost profitable projects; Poor sub coordination; Manual change orders; No post-project follow-up; Safety docs scattered; Slow estimating; Crew scheduling conflicts</t>
        </is>
      </c>
      <c r="D6" s="2" t="inlineStr">
        <is>
          <t>permit deadline, weather window, project start date, inspection scheduled, bonding renewal, material price increase, subcontractor availability, safety incident</t>
        </is>
      </c>
      <c r="E6" s="2" t="inlineStr">
        <is>
          <t>Automated bid follow-up; Project milestone management; Crew scheduling automation; Safety compliance platform; Post-project referral engine</t>
        </is>
      </c>
      <c r="F6" s="2" t="inlineStr">
        <is>
          <t>How quickly do you respond to bid requests?</t>
        </is>
      </c>
      <c r="G6" s="2" t="inlineStr">
        <is>
          <t>Active projects managed simultaneously?</t>
        </is>
      </c>
      <c r="H6" s="2" t="inlineStr">
        <is>
          <t>How do you track change orders?</t>
        </is>
      </c>
      <c r="I6" s="2" t="inlineStr">
        <is>
          <t>How many crew members?</t>
        </is>
      </c>
      <c r="J6" s="2" t="inlineStr">
        <is>
          <t>System for post-project follow-up?</t>
        </is>
      </c>
      <c r="K6" s="2" t="inlineStr">
        <is>
          <t>Rate safety documentation process</t>
        </is>
      </c>
      <c r="L6" s="2" t="inlineStr">
        <is>
          <t>Biggest operational challenge?</t>
        </is>
      </c>
      <c r="M6" s="2" t="inlineStr">
        <is>
          <t>0.30</t>
        </is>
      </c>
      <c r="N6" s="2" t="inlineStr">
        <is>
          <t>0.30</t>
        </is>
      </c>
      <c r="O6" s="2" t="inlineStr">
        <is>
          <t>0.15</t>
        </is>
      </c>
      <c r="P6" s="2" t="inlineStr">
        <is>
          <t>0.25</t>
        </is>
      </c>
      <c r="Q6" s="2" t="inlineStr">
        <is>
          <t>{{niche}} contractors who automate bid follow-up win 35% more projects</t>
        </is>
      </c>
      <c r="R6" s="2" t="inlineStr">
        <is>
          <t>See how {{niche}} companies streamline operations from bid to project closeout.</t>
        </is>
      </c>
      <c r="S6" s="2" t="inlineStr">
        <is>
          <t>Get Your Operations Assessment</t>
        </is>
      </c>
      <c r="T6" s="2" t="inlineStr">
        <is>
          <t>Trusted by 100+ {{niche}} contractors and builders</t>
        </is>
      </c>
      <c r="U6" s="2" t="inlineStr">
        <is>
          <t>Looking to win more {{niche}} projects? This diagnostic shows you how.</t>
        </is>
      </c>
      <c r="V6" s="2" t="inlineStr">
        <is>
          <t>Find out where your bid-to-build process is leaving money on the table.</t>
        </is>
      </c>
      <c r="W6" s="2" t="inlineStr">
        <is>
          <t>Take the Operations Assessment</t>
        </is>
      </c>
      <c r="X6" s="2" t="inlineStr">
        <is>
          <t>Contractors report 25% faster project turnaround after implementation</t>
        </is>
      </c>
      <c r="Y6" s="2" t="inlineStr">
        <is>
          <t>Let us build your {{niche}} project automation system this week</t>
        </is>
      </c>
      <c r="Z6" s="2" t="inlineStr">
        <is>
          <t>Book a strategy session and get a plan to streamline bids, scheduling, and communication.</t>
        </is>
      </c>
      <c r="AA6" s="2" t="inlineStr">
        <is>
          <t>Book Your Strategy Session</t>
        </is>
      </c>
      <c r="AB6" s="2" t="inlineStr">
        <is>
          <t>94% of {{niche}} contractors who book move forward within 2 weeks</t>
        </is>
      </c>
      <c r="AC6" s="2" t="inlineStr">
        <is>
          <t>Your {{niche}} operations system is ready. Let us deploy it.</t>
        </is>
      </c>
      <c r="AD6" s="2" t="inlineStr">
        <is>
          <t>Everything is configured for your business. Pick your launch date.</t>
        </is>
      </c>
      <c r="AE6" s="2" t="inlineStr">
        <is>
          <t>Deploy Now</t>
        </is>
      </c>
      <c r="AF6" s="2" t="inlineStr">
        <is>
          <t>Average 30% reduction in project admin time after deployment</t>
        </is>
      </c>
      <c r="AG6" s="2" t="inlineStr">
        <is>
          <t>qualification, chat, checkout, retention</t>
        </is>
      </c>
      <c r="AH6" s="2" t="inlineStr">
        <is>
          <t>Your {{niche}} operations report is ready</t>
        </is>
      </c>
      <c r="AI6" s="2" t="inlineStr">
        <is>
          <t>Why the fastest {{niche}} contractors always win the bid</t>
        </is>
      </c>
      <c r="AJ6" s="2" t="inlineStr">
        <is>
          <t>How [Company] eliminated scheduling conflicts across 15 crews</t>
        </is>
      </c>
      <c r="AK6" s="2" t="inlineStr">
        <is>
          <t>3 automations every {{niche}} business needs today</t>
        </is>
      </c>
      <c r="AL6" s="2" t="inlineStr">
        <is>
          <t>Your strategy session slot is reserved</t>
        </is>
      </c>
      <c r="AM6" s="2" t="inlineStr">
        <is>
          <t>Last chance: your {{niche}} operations assessment expires tomorrow</t>
        </is>
      </c>
      <c r="AN6" s="2" t="inlineStr">
        <is>
          <t>What top {{niche}} contractors do that average ones do not</t>
        </is>
      </c>
      <c r="AO6" s="2" t="inlineStr">
        <is>
          <t>General Contractor</t>
        </is>
      </c>
      <c r="AP6" s="2" t="inlineStr">
        <is>
          <t>construction lead generation, contractor CRM, bid management, project scheduling</t>
        </is>
      </c>
      <c r="AQ6" s="2" t="inlineStr">
        <is>
          <t>{{Niche}} Contractor Growth | Bid Management &amp; Scheduling | [Brand]</t>
        </is>
      </c>
      <c r="AR6" s="2" t="inlineStr">
        <is>
          <t>Win more {{niche}} bids with automated follow-up, scheduling, and project management.</t>
        </is>
      </c>
      <c r="AS6" s="2" t="inlineStr">
        <is>
          <t>Bid Management, Project Scheduling, Safety Compliance, Contractor Marketing, Crew Management</t>
        </is>
      </c>
      <c r="AT6" s="2" t="inlineStr">
        <is>
          <t>General Contractor, Construction Company, Specialty Trade, Builder</t>
        </is>
      </c>
      <c r="AU6" s="2" t="inlineStr">
        <is>
          <t>#E76F51</t>
        </is>
      </c>
      <c r="AV6" s="2" t="inlineStr">
        <is>
          <t>Rugged, Reliable, Professional</t>
        </is>
      </c>
      <c r="AW6" s="2" t="inlineStr">
        <is>
          <t>Montserrat / Open Sans</t>
        </is>
      </c>
      <c r="AX6" s="2" t="inlineStr">
        <is>
          <t>Bid Strategies, Project Management, Safety Compliance, Contractor Growth</t>
        </is>
      </c>
      <c r="AY6" s="2" t="inlineStr">
        <is>
          <t>Construction Landing + Operations Assessment</t>
        </is>
      </c>
    </row>
    <row r="7">
      <c r="A7" s="2" t="inlineStr">
        <is>
          <t>Real Estate</t>
        </is>
      </c>
      <c r="B7" s="2" t="inlineStr">
        <is>
          <t>real estate, realtor, realty, broker, property, mortgage, home buying, home selling</t>
        </is>
      </c>
      <c r="C7" s="2" t="inlineStr">
        <is>
          <t>Slow inquiry response loses deals; Manual listing management; No lead nurture system; Poor CRM adoption; No attribution; Inconsistent open house follow-up; Too much paperwork</t>
        </is>
      </c>
      <c r="D7" s="2" t="inlineStr">
        <is>
          <t>interest rate change, inventory shortage, listing expiring, relocation deadline, market shift, new construction phase, contract deadline, inspection contingency</t>
        </is>
      </c>
      <c r="E7" s="2" t="inlineStr">
        <is>
          <t>Automated lead follow-up; Listing marketing automation; Open house capture; Market report lead magnets; Transaction coordination automation</t>
        </is>
      </c>
      <c r="F7" s="2" t="inlineStr">
        <is>
          <t>How quickly do you respond to property inquiries?</t>
        </is>
      </c>
      <c r="G7" s="2" t="inlineStr">
        <is>
          <t>Active leads being managed?</t>
        </is>
      </c>
      <c r="H7" s="2" t="inlineStr">
        <is>
          <t>Automated drip campaigns for long-term leads?</t>
        </is>
      </c>
      <c r="I7" s="2" t="inlineStr">
        <is>
          <t>How do you capture open house leads?</t>
        </is>
      </c>
      <c r="J7" s="2" t="inlineStr">
        <is>
          <t>Lead-to-close conversion rate?</t>
        </is>
      </c>
      <c r="K7" s="2" t="inlineStr">
        <is>
          <t>Rate marketing attribution</t>
        </is>
      </c>
      <c r="L7" s="2" t="inlineStr">
        <is>
          <t>Biggest growth challenge?</t>
        </is>
      </c>
      <c r="M7" s="2" t="inlineStr">
        <is>
          <t>0.35</t>
        </is>
      </c>
      <c r="N7" s="2" t="inlineStr">
        <is>
          <t>0.20</t>
        </is>
      </c>
      <c r="O7" s="2" t="inlineStr">
        <is>
          <t>0.20</t>
        </is>
      </c>
      <c r="P7" s="2" t="inlineStr">
        <is>
          <t>0.25</t>
        </is>
      </c>
      <c r="Q7" s="2" t="inlineStr">
        <is>
          <t>{{niche}} teams that respond in under 5 minutes close 4x more deals</t>
        </is>
      </c>
      <c r="R7" s="2" t="inlineStr">
        <is>
          <t>Discover how top {{niche}} professionals automate follow-up and never lose a lead.</t>
        </is>
      </c>
      <c r="S7" s="2" t="inlineStr">
        <is>
          <t>Get Your Lead Response Assessment</t>
        </is>
      </c>
      <c r="T7" s="2" t="inlineStr">
        <is>
          <t>Used by 250+ {{niche}} agents and teams</t>
        </is>
      </c>
      <c r="U7" s="2" t="inlineStr">
        <is>
          <t>You are looking for an edge in {{niche}}. Here is where to start.</t>
        </is>
      </c>
      <c r="V7" s="2" t="inlineStr">
        <is>
          <t>A quick diagnostic reveals the biggest gaps in your lead conversion process.</t>
        </is>
      </c>
      <c r="W7" s="2" t="inlineStr">
        <is>
          <t>Take the Assessment</t>
        </is>
      </c>
      <c r="X7" s="2" t="inlineStr">
        <is>
          <t>Agents report 50% more showings within 30 days</t>
        </is>
      </c>
      <c r="Y7" s="2" t="inlineStr">
        <is>
          <t>Let us build your {{niche}} lead engine this week</t>
        </is>
      </c>
      <c r="Z7" s="2" t="inlineStr">
        <is>
          <t>Book a strategy session and get a plan to automate your entire lead-to-close pipeline.</t>
        </is>
      </c>
      <c r="AA7" s="2" t="inlineStr">
        <is>
          <t>Book Your Strategy Session</t>
        </is>
      </c>
      <c r="AB7" s="2" t="inlineStr">
        <is>
          <t>95% of {{niche}} professionals who book move forward within 2 weeks</t>
        </is>
      </c>
      <c r="AC7" s="2" t="inlineStr">
        <is>
          <t>Your {{niche}} lead system is ready. Let us activate it.</t>
        </is>
      </c>
      <c r="AD7" s="2" t="inlineStr">
        <is>
          <t>Everything is configured for your market. Pick a start date.</t>
        </is>
      </c>
      <c r="AE7" s="2" t="inlineStr">
        <is>
          <t>Activate Now</t>
        </is>
      </c>
      <c r="AF7" s="2" t="inlineStr">
        <is>
          <t>Average 3x increase in lead-to-showing rate within 60 days</t>
        </is>
      </c>
      <c r="AG7" s="2" t="inlineStr">
        <is>
          <t>lead-magnet, chat, qualification, retention</t>
        </is>
      </c>
      <c r="AH7" s="2" t="inlineStr">
        <is>
          <t>Your {{niche}} lead conversion report is inside</t>
        </is>
      </c>
      <c r="AI7" s="2" t="inlineStr">
        <is>
          <t>The 5-minute rule that top {{niche}} agents swear by</t>
        </is>
      </c>
      <c r="AJ7" s="2" t="inlineStr">
        <is>
          <t>How [Agent] closed 12 more deals in 6 months with automation</t>
        </is>
      </c>
      <c r="AK7" s="2" t="inlineStr">
        <is>
          <t>3 follow-up sequences every {{niche}} team should run</t>
        </is>
      </c>
      <c r="AL7" s="2" t="inlineStr">
        <is>
          <t>Your strategy session is reserved</t>
        </is>
      </c>
      <c r="AM7" s="2" t="inlineStr">
        <is>
          <t>Final reminder: your {{niche}} assessment results expire tomorrow</t>
        </is>
      </c>
      <c r="AN7" s="2" t="inlineStr">
        <is>
          <t>What top-producing {{niche}} teams do differently</t>
        </is>
      </c>
      <c r="AO7" s="2" t="inlineStr">
        <is>
          <t>Real Estate Agent</t>
        </is>
      </c>
      <c r="AP7" s="2" t="inlineStr">
        <is>
          <t>real estate lead generation, realtor CRM, listing automation, open house leads</t>
        </is>
      </c>
      <c r="AQ7" s="2" t="inlineStr">
        <is>
          <t>{{Niche}} Lead Generation | Automated Follow-Up for Agents | [Brand]</t>
        </is>
      </c>
      <c r="AR7" s="2" t="inlineStr">
        <is>
          <t>Close more {{niche}} deals with automated lead follow-up, listing marketing, and open house capture.</t>
        </is>
      </c>
      <c r="AS7" s="2" t="inlineStr">
        <is>
          <t>Lead Generation, Open House Capture, Listing Marketing, CRM Automation, Market Reports</t>
        </is>
      </c>
      <c r="AT7" s="2" t="inlineStr">
        <is>
          <t>Real Estate Agent, Realtor, Property Management, Real Estate Broker</t>
        </is>
      </c>
      <c r="AU7" s="2" t="inlineStr">
        <is>
          <t>#C4632D</t>
        </is>
      </c>
      <c r="AV7" s="2" t="inlineStr">
        <is>
          <t>Polished, Aspirational, Local</t>
        </is>
      </c>
      <c r="AW7" s="2" t="inlineStr">
        <is>
          <t>Poppins / Lato</t>
        </is>
      </c>
      <c r="AX7" s="2" t="inlineStr">
        <is>
          <t>Market Reports, Home Buying Guides, Investment Analysis, Neighborhood Guides</t>
        </is>
      </c>
      <c r="AY7" s="2" t="inlineStr">
        <is>
          <t>Real Estate Landing + Lead Assessment</t>
        </is>
      </c>
    </row>
    <row r="8">
      <c r="A8" s="2" t="inlineStr">
        <is>
          <t>Education</t>
        </is>
      </c>
      <c r="B8" s="2" t="inlineStr">
        <is>
          <t>school, university, college, academy, tutoring, training, online course, e-learning, coaching, certification</t>
        </is>
      </c>
      <c r="C8" s="2" t="inlineStr">
        <is>
          <t>Slow enrollment follow-up; Admissions bottlenecks; Hard to show outcomes/ROI; Student engagement drops; No alumni referral system; Poor completion rates</t>
        </is>
      </c>
      <c r="D8" s="2" t="inlineStr">
        <is>
          <t>enrollment deadline, semester start, accreditation review, financial aid deadline, waitlist opening, early bird pricing, cohort filling up, program launch</t>
        </is>
      </c>
      <c r="E8" s="2" t="inlineStr">
        <is>
          <t>Automated enrollment nurture; Student onboarding sequences; Alumni engagement campaigns; Completion tracking; Outcome reporting</t>
        </is>
      </c>
      <c r="F8" s="2" t="inlineStr">
        <is>
          <t>How quickly do you respond to enrollment inquiries?</t>
        </is>
      </c>
      <c r="G8" s="2" t="inlineStr">
        <is>
          <t>Enrollment leads per month?</t>
        </is>
      </c>
      <c r="H8" s="2" t="inlineStr">
        <is>
          <t>Automated admissions nurture?</t>
        </is>
      </c>
      <c r="I8" s="2" t="inlineStr">
        <is>
          <t>Inquiry-to-enrollment conversion rate?</t>
        </is>
      </c>
      <c r="J8" s="2" t="inlineStr">
        <is>
          <t>How do you track student progress?</t>
        </is>
      </c>
      <c r="K8" s="2" t="inlineStr">
        <is>
          <t>Rate alumni engagement</t>
        </is>
      </c>
      <c r="L8" s="2" t="inlineStr">
        <is>
          <t>Biggest enrollment challenge?</t>
        </is>
      </c>
      <c r="M8" s="2" t="inlineStr">
        <is>
          <t>0.25</t>
        </is>
      </c>
      <c r="N8" s="2" t="inlineStr">
        <is>
          <t>0.25</t>
        </is>
      </c>
      <c r="O8" s="2" t="inlineStr">
        <is>
          <t>0.30</t>
        </is>
      </c>
      <c r="P8" s="2" t="inlineStr">
        <is>
          <t>0.20</t>
        </is>
      </c>
      <c r="Q8" s="2" t="inlineStr">
        <is>
          <t>{{niche}} programs that automate admissions enroll 40% more students</t>
        </is>
      </c>
      <c r="R8" s="2" t="inlineStr">
        <is>
          <t>See how leading {{niche}} institutions streamline the inquiry-to-enrollment journey.</t>
        </is>
      </c>
      <c r="S8" s="2" t="inlineStr">
        <is>
          <t>Get Your Enrollment Assessment</t>
        </is>
      </c>
      <c r="T8" s="2" t="inlineStr">
        <is>
          <t>Trusted by 75+ {{niche}} programs and institutions</t>
        </is>
      </c>
      <c r="U8" s="2" t="inlineStr">
        <is>
          <t>Looking to fill your {{niche}} program? This diagnostic shows you how.</t>
        </is>
      </c>
      <c r="V8" s="2" t="inlineStr">
        <is>
          <t>Discover the gaps in your enrollment pipeline and how to close them fast.</t>
        </is>
      </c>
      <c r="W8" s="2" t="inlineStr">
        <is>
          <t>Take the Enrollment Assessment</t>
        </is>
      </c>
      <c r="X8" s="2" t="inlineStr">
        <is>
          <t>Programs see 30% higher enrollment within one admissions cycle</t>
        </is>
      </c>
      <c r="Y8" s="2" t="inlineStr">
        <is>
          <t>Let us build your {{niche}} enrollment engine this week</t>
        </is>
      </c>
      <c r="Z8" s="2" t="inlineStr">
        <is>
          <t>Book a session and get a plan to automate your admissions pipeline end to end.</t>
        </is>
      </c>
      <c r="AA8" s="2" t="inlineStr">
        <is>
          <t>Book Your Strategy Session</t>
        </is>
      </c>
      <c r="AB8" s="2" t="inlineStr">
        <is>
          <t>90% of {{niche}} programs that book move forward within 2 weeks</t>
        </is>
      </c>
      <c r="AC8" s="2" t="inlineStr">
        <is>
          <t>Your {{niche}} enrollment system is configured. Let us launch it.</t>
        </is>
      </c>
      <c r="AD8" s="2" t="inlineStr">
        <is>
          <t>Everything is ready for your next admissions cycle. Choose your start date.</t>
        </is>
      </c>
      <c r="AE8" s="2" t="inlineStr">
        <is>
          <t>Launch Now</t>
        </is>
      </c>
      <c r="AF8" s="2" t="inlineStr">
        <is>
          <t>Average 35% improvement in inquiry-to-enrollment rate after launch</t>
        </is>
      </c>
      <c r="AG8" s="2" t="inlineStr">
        <is>
          <t>lead-magnet, webinar, authority, retention</t>
        </is>
      </c>
      <c r="AH8" s="2" t="inlineStr">
        <is>
          <t>Your {{niche}} enrollment growth report is inside</t>
        </is>
      </c>
      <c r="AI8" s="2" t="inlineStr">
        <is>
          <t>Why top {{niche}} programs never lose a prospective student</t>
        </is>
      </c>
      <c r="AJ8" s="2" t="inlineStr">
        <is>
          <t>How [Institution] boosted enrollment 35% with automation</t>
        </is>
      </c>
      <c r="AK8" s="2" t="inlineStr">
        <is>
          <t>3 admissions automations every {{niche}} program needs</t>
        </is>
      </c>
      <c r="AL8" s="2" t="inlineStr">
        <is>
          <t>Your strategy session is reserved</t>
        </is>
      </c>
      <c r="AM8" s="2" t="inlineStr">
        <is>
          <t>Final reminder: your {{niche}} enrollment report expires soon</t>
        </is>
      </c>
      <c r="AN8" s="2" t="inlineStr">
        <is>
          <t>What high-enrollment {{niche}} programs do differently</t>
        </is>
      </c>
      <c r="AO8" s="2" t="inlineStr">
        <is>
          <t>Educational Institution</t>
        </is>
      </c>
      <c r="AP8" s="2" t="inlineStr">
        <is>
          <t>enrollment marketing, student recruitment, LMS platform, education CRM</t>
        </is>
      </c>
      <c r="AQ8" s="2" t="inlineStr">
        <is>
          <t>{{Niche}} Enrollment Growth | Admissions Automation | [Brand]</t>
        </is>
      </c>
      <c r="AR8" s="2" t="inlineStr">
        <is>
          <t>Enroll more students with automated admissions nurture, completion tracking, and alumni engagement.</t>
        </is>
      </c>
      <c r="AS8" s="2" t="inlineStr">
        <is>
          <t>Enrollment Marketing, Student Recruitment, Admissions, Retention, Alumni Engagement</t>
        </is>
      </c>
      <c r="AT8" s="2" t="inlineStr">
        <is>
          <t>School, University, Training Center, Online Education, Coaching</t>
        </is>
      </c>
      <c r="AU8" s="2" t="inlineStr">
        <is>
          <t>#1D3557</t>
        </is>
      </c>
      <c r="AV8" s="2" t="inlineStr">
        <is>
          <t>Inspiring, Academic, Trustworthy</t>
        </is>
      </c>
      <c r="AW8" s="2" t="inlineStr">
        <is>
          <t>Merriweather / Open Sans</t>
        </is>
      </c>
      <c r="AX8" s="2" t="inlineStr">
        <is>
          <t>Enrollment Strategies, Student Success, Educational Technology, Online Learning</t>
        </is>
      </c>
      <c r="AY8" s="2" t="inlineStr">
        <is>
          <t>Education Landing + Enrollment Assessment</t>
        </is>
      </c>
    </row>
    <row r="9">
      <c r="A9" s="2" t="inlineStr">
        <is>
          <t>Finance</t>
        </is>
      </c>
      <c r="B9" s="2" t="inlineStr">
        <is>
          <t>accounting, financial, wealth management, insurance, bookkeep, tax, financial planning, advisor, cpa, credit</t>
        </is>
      </c>
      <c r="C9" s="2" t="inlineStr">
        <is>
          <t>Compliance-heavy onboarding takes weeks; Manual KYC; More paperwork than relationships; Slow follow-up; Hard to show value between reviews; Fragmented compliance</t>
        </is>
      </c>
      <c r="D9" s="2" t="inlineStr">
        <is>
          <t>tax deadline, regulatory change, audit notification, market volatility, client review season, license renewal, compliance deadline, fiscal year end</t>
        </is>
      </c>
      <c r="E9" s="2" t="inlineStr">
        <is>
          <t>Automated client onboarding/KYC; Compliance tracking; Review scheduling; Prospect nurture; Referral/appreciation engine</t>
        </is>
      </c>
      <c r="F9" s="2" t="inlineStr">
        <is>
          <t>How long to onboard a new client?</t>
        </is>
      </c>
      <c r="G9" s="2" t="inlineStr">
        <is>
          <t>Prospective clients engaged per month?</t>
        </is>
      </c>
      <c r="H9" s="2" t="inlineStr">
        <is>
          <t>Automated compliance workflows?</t>
        </is>
      </c>
      <c r="I9" s="2" t="inlineStr">
        <is>
          <t>Ongoing client engagement method?</t>
        </is>
      </c>
      <c r="J9" s="2" t="inlineStr">
        <is>
          <t>% new clients from referrals?</t>
        </is>
      </c>
      <c r="K9" s="2" t="inlineStr">
        <is>
          <t>Rate digital client experience</t>
        </is>
      </c>
      <c r="L9" s="2" t="inlineStr">
        <is>
          <t>Biggest operational challenge?</t>
        </is>
      </c>
      <c r="M9" s="2" t="inlineStr">
        <is>
          <t>0.25</t>
        </is>
      </c>
      <c r="N9" s="2" t="inlineStr">
        <is>
          <t>0.30</t>
        </is>
      </c>
      <c r="O9" s="2" t="inlineStr">
        <is>
          <t>0.20</t>
        </is>
      </c>
      <c r="P9" s="2" t="inlineStr">
        <is>
          <t>0.25</t>
        </is>
      </c>
      <c r="Q9" s="2" t="inlineStr">
        <is>
          <t>{{niche}} firms that automate onboarding grow AUM 30% faster</t>
        </is>
      </c>
      <c r="R9" s="2" t="inlineStr">
        <is>
          <t>See how leading {{niche}} practices eliminate compliance bottlenecks and win more clients.</t>
        </is>
      </c>
      <c r="S9" s="2" t="inlineStr">
        <is>
          <t>Get Your Practice Assessment</t>
        </is>
      </c>
      <c r="T9" s="2" t="inlineStr">
        <is>
          <t>Trusted by 120+ {{niche}} firms and advisory practices</t>
        </is>
      </c>
      <c r="U9" s="2" t="inlineStr">
        <is>
          <t>Looking to streamline your {{niche}} practice? Start with this diagnostic.</t>
        </is>
      </c>
      <c r="V9" s="2" t="inlineStr">
        <is>
          <t>A quick assessment reveals your biggest operational opportunities.</t>
        </is>
      </c>
      <c r="W9" s="2" t="inlineStr">
        <is>
          <t>Take the Practice Assessment</t>
        </is>
      </c>
      <c r="X9" s="2" t="inlineStr">
        <is>
          <t>Firms report 40% faster onboarding within 60 days</t>
        </is>
      </c>
      <c r="Y9" s="2" t="inlineStr">
        <is>
          <t>Let us build your {{niche}} client automation system this week</t>
        </is>
      </c>
      <c r="Z9" s="2" t="inlineStr">
        <is>
          <t>Book a strategy session and get a plan tailored to your {{niche}} practice.</t>
        </is>
      </c>
      <c r="AA9" s="2" t="inlineStr">
        <is>
          <t>Book Your Strategy Session</t>
        </is>
      </c>
      <c r="AB9" s="2" t="inlineStr">
        <is>
          <t>93% of {{niche}} firms that book move forward within 2 weeks</t>
        </is>
      </c>
      <c r="AC9" s="2" t="inlineStr">
        <is>
          <t>Your {{niche}} automation platform is ready. Let us go live.</t>
        </is>
      </c>
      <c r="AD9" s="2" t="inlineStr">
        <is>
          <t>Everything is configured. Pick your launch date.</t>
        </is>
      </c>
      <c r="AE9" s="2" t="inlineStr">
        <is>
          <t>Go Live</t>
        </is>
      </c>
      <c r="AF9" s="2" t="inlineStr">
        <is>
          <t>Average 45% reduction in onboarding time after launch</t>
        </is>
      </c>
      <c r="AG9" s="2" t="inlineStr">
        <is>
          <t>authority, qualification, webinar, continuity</t>
        </is>
      </c>
      <c r="AH9" s="2" t="inlineStr">
        <is>
          <t>Your {{niche}} practice efficiency report is inside</t>
        </is>
      </c>
      <c r="AI9" s="2" t="inlineStr">
        <is>
          <t>Why compliant {{niche}} firms grow faster</t>
        </is>
      </c>
      <c r="AJ9" s="2" t="inlineStr">
        <is>
          <t>How [Firm] onboards clients 60% faster with automation</t>
        </is>
      </c>
      <c r="AK9" s="2" t="inlineStr">
        <is>
          <t>3 compliance risks hiding in your {{niche}} workflow</t>
        </is>
      </c>
      <c r="AL9" s="2" t="inlineStr">
        <is>
          <t>Your strategy session is reserved</t>
        </is>
      </c>
      <c r="AM9" s="2" t="inlineStr">
        <is>
          <t>Final reminder: your {{niche}} assessment expires tomorrow</t>
        </is>
      </c>
      <c r="AN9" s="2" t="inlineStr">
        <is>
          <t>What elite {{niche}} practices do that average ones do not</t>
        </is>
      </c>
      <c r="AO9" s="2" t="inlineStr">
        <is>
          <t>Financial Advisor</t>
        </is>
      </c>
      <c r="AP9" s="2" t="inlineStr">
        <is>
          <t>financial advisor CRM, accounting practice automation, tax firm marketing, wealth management leads</t>
        </is>
      </c>
      <c r="AQ9" s="2" t="inlineStr">
        <is>
          <t>{{Niche}} Practice Growth | Client Onboarding &amp; Compliance | [Brand]</t>
        </is>
      </c>
      <c r="AR9" s="2" t="inlineStr">
        <is>
          <t>Grow your {{niche}} practice with automated onboarding, compliance tracking, and client engagement.</t>
        </is>
      </c>
      <c r="AS9" s="2" t="inlineStr">
        <is>
          <t>Client Onboarding, Compliance, Financial Planning, Tax Preparation, Wealth Management</t>
        </is>
      </c>
      <c r="AT9" s="2" t="inlineStr">
        <is>
          <t>Financial Advisor, CPA, Accountant, Insurance Agent, Wealth Manager</t>
        </is>
      </c>
      <c r="AU9" s="2" t="inlineStr">
        <is>
          <t>#1B263B</t>
        </is>
      </c>
      <c r="AV9" s="2" t="inlineStr">
        <is>
          <t>Conservative, Trustworthy, Premium</t>
        </is>
      </c>
      <c r="AW9" s="2" t="inlineStr">
        <is>
          <t>Playfair Display / Source Sans Pro</t>
        </is>
      </c>
      <c r="AX9" s="2" t="inlineStr">
        <is>
          <t>Financial Planning, Compliance, Client Retention, Practice Growth</t>
        </is>
      </c>
      <c r="AY9" s="2" t="inlineStr">
        <is>
          <t>Financial Services Landing + Practice Assessment</t>
        </is>
      </c>
    </row>
    <row r="10">
      <c r="A10" s="2" t="inlineStr">
        <is>
          <t>Franchise</t>
        </is>
      </c>
      <c r="B10" s="2" t="inlineStr">
        <is>
          <t>franchise, multi-location, multi-unit, chain</t>
        </is>
      </c>
      <c r="C10" s="2" t="inlineStr">
        <is>
          <t>Brand inconsistency; Variable lead follow-up; No HQ visibility; Slow franchisee onboarding; Manual discovery day follow-up; Compliance enforcement gaps</t>
        </is>
      </c>
      <c r="D10" s="2" t="inlineStr">
        <is>
          <t>franchise disclosure deadline, territory opening, grand opening, franchise renewal, compliance audit, expansion target, competitor franchise, multi-unit deal</t>
        </is>
      </c>
      <c r="E10" s="2" t="inlineStr">
        <is>
          <t>Discovery and candidate nurture; Multi-location marketing compliance; Franchisee onboarding automation; Centralized lead routing; Local marketing templates</t>
        </is>
      </c>
      <c r="F10" s="2" t="inlineStr">
        <is>
          <t>How many franchise locations?</t>
        </is>
      </c>
      <c r="G10" s="2" t="inlineStr">
        <is>
          <t>How do you distribute leads?</t>
        </is>
      </c>
      <c r="H10" s="2" t="inlineStr">
        <is>
          <t>Standardized marketing templates?</t>
        </is>
      </c>
      <c r="I10" s="2" t="inlineStr">
        <is>
          <t>How long to onboard new franchisee?</t>
        </is>
      </c>
      <c r="J10" s="2" t="inlineStr">
        <is>
          <t>How do you track location performance?</t>
        </is>
      </c>
      <c r="K10" s="2" t="inlineStr">
        <is>
          <t>Rate tech consistency across locations</t>
        </is>
      </c>
      <c r="L10" s="2" t="inlineStr">
        <is>
          <t>Biggest franchise challenge?</t>
        </is>
      </c>
      <c r="M10" s="2" t="inlineStr">
        <is>
          <t>0.25</t>
        </is>
      </c>
      <c r="N10" s="2" t="inlineStr">
        <is>
          <t>0.35</t>
        </is>
      </c>
      <c r="O10" s="2" t="inlineStr">
        <is>
          <t>0.20</t>
        </is>
      </c>
      <c r="P10" s="2" t="inlineStr">
        <is>
          <t>0.20</t>
        </is>
      </c>
      <c r="Q10" s="2" t="inlineStr">
        <is>
          <t>{{niche}} franchise systems that centralize lead management grow 2x faster</t>
        </is>
      </c>
      <c r="R10" s="2" t="inlineStr">
        <is>
          <t>See how multi-location {{niche}} brands automate from HQ to every franchisee.</t>
        </is>
      </c>
      <c r="S10" s="2" t="inlineStr">
        <is>
          <t>Get Your Franchise Assessment</t>
        </is>
      </c>
      <c r="T10" s="2" t="inlineStr">
        <is>
          <t>Used by 50+ {{niche}} franchise systems</t>
        </is>
      </c>
      <c r="U10" s="2" t="inlineStr">
        <is>
          <t>Scaling your {{niche}} franchise? This diagnostic finds your biggest bottleneck.</t>
        </is>
      </c>
      <c r="V10" s="2" t="inlineStr">
        <is>
          <t>Identify the gaps in your franchise operations and marketing infrastructure.</t>
        </is>
      </c>
      <c r="W10" s="2" t="inlineStr">
        <is>
          <t>Take the Franchise Assessment</t>
        </is>
      </c>
      <c r="X10" s="2" t="inlineStr">
        <is>
          <t>Franchise systems report 35% faster franchisee ramp-up</t>
        </is>
      </c>
      <c r="Y10" s="2" t="inlineStr">
        <is>
          <t>Let us build your {{niche}} franchise automation platform this week</t>
        </is>
      </c>
      <c r="Z10" s="2" t="inlineStr">
        <is>
          <t>Book a strategy session and get a plan to unify marketing and operations across all locations.</t>
        </is>
      </c>
      <c r="AA10" s="2" t="inlineStr">
        <is>
          <t>Book Your Strategy Session</t>
        </is>
      </c>
      <c r="AB10" s="2" t="inlineStr">
        <is>
          <t>92% of {{niche}} franchisors who book move forward within 2 weeks</t>
        </is>
      </c>
      <c r="AC10" s="2" t="inlineStr">
        <is>
          <t>Your {{niche}} franchise platform is ready. Let us roll it out.</t>
        </is>
      </c>
      <c r="AD10" s="2" t="inlineStr">
        <is>
          <t>Everything is configured. Choose your rollout schedule.</t>
        </is>
      </c>
      <c r="AE10" s="2" t="inlineStr">
        <is>
          <t>Start Rollout</t>
        </is>
      </c>
      <c r="AF10" s="2" t="inlineStr">
        <is>
          <t>Average 40% improvement in location-level lead conversion</t>
        </is>
      </c>
      <c r="AG10" s="2" t="inlineStr">
        <is>
          <t>qualification, authority, webinar, checkout</t>
        </is>
      </c>
      <c r="AH10" s="2" t="inlineStr">
        <is>
          <t>Your {{niche}} franchise growth report is inside</t>
        </is>
      </c>
      <c r="AI10" s="2" t="inlineStr">
        <is>
          <t>The #1 mistake {{niche}} franchise systems make with leads</t>
        </is>
      </c>
      <c r="AJ10" s="2" t="inlineStr">
        <is>
          <t>How [Brand] unified marketing across 30 locations</t>
        </is>
      </c>
      <c r="AK10" s="2" t="inlineStr">
        <is>
          <t>3 franchise automations that pay for themselves in 30 days</t>
        </is>
      </c>
      <c r="AL10" s="2" t="inlineStr">
        <is>
          <t>Your strategy session is reserved</t>
        </is>
      </c>
      <c r="AM10" s="2" t="inlineStr">
        <is>
          <t>Final reminder: your {{niche}} franchise assessment expires tomorrow</t>
        </is>
      </c>
      <c r="AN10" s="2" t="inlineStr">
        <is>
          <t>What top-performing {{niche}} franchise systems do differently</t>
        </is>
      </c>
      <c r="AO10" s="2" t="inlineStr">
        <is>
          <t>Franchise Company</t>
        </is>
      </c>
      <c r="AP10" s="2" t="inlineStr">
        <is>
          <t>franchise lead management, multi-location CRM, franchise marketing, territory management</t>
        </is>
      </c>
      <c r="AQ10" s="2" t="inlineStr">
        <is>
          <t>{{Niche}} Franchise Growth | Multi-Location Automation | [Brand]</t>
        </is>
      </c>
      <c r="AR10" s="2" t="inlineStr">
        <is>
          <t>Unify {{niche}} franchise marketing, lead routing, and performance tracking across all locations.</t>
        </is>
      </c>
      <c r="AS10" s="2" t="inlineStr">
        <is>
          <t>Franchise Development, Multi-Location Marketing, Brand Compliance, Territory Management</t>
        </is>
      </c>
      <c r="AT10" s="2" t="inlineStr">
        <is>
          <t>Franchise, Multi-Location Business, Franchisor, Franchise Development</t>
        </is>
      </c>
      <c r="AU10" s="2" t="inlineStr">
        <is>
          <t>#D62828</t>
        </is>
      </c>
      <c r="AV10" s="2" t="inlineStr">
        <is>
          <t>Corporate, Scalable, Unified</t>
        </is>
      </c>
      <c r="AW10" s="2" t="inlineStr">
        <is>
          <t>Montserrat / Open Sans</t>
        </is>
      </c>
      <c r="AX10" s="2" t="inlineStr">
        <is>
          <t>Franchise Operations, Territory Marketing, Brand Compliance, Location Performance</t>
        </is>
      </c>
      <c r="AY10" s="2" t="inlineStr">
        <is>
          <t>Franchise Landing + Operations Assessment</t>
        </is>
      </c>
    </row>
    <row r="11">
      <c r="A11" s="2" t="inlineStr">
        <is>
          <t>Staffing</t>
        </is>
      </c>
      <c r="B11" s="2" t="inlineStr">
        <is>
          <t>staffing, recruiting, recruitment, temp agency, headhunt, talent acquisition, placement</t>
        </is>
      </c>
      <c r="C11" s="2" t="inlineStr">
        <is>
          <t>Slow candidate response; Manual matching wastes hours; No past candidate re-engagement; Inconsistent job order follow-up; Poor placement tracking; Client retention suffers</t>
        </is>
      </c>
      <c r="D11" s="2" t="inlineStr">
        <is>
          <t>urgent hire, backfill needed, contract starting, seasonal ramp, client deadline, competing offer, layoff redeployment, expansion hiring</t>
        </is>
      </c>
      <c r="E11" s="2" t="inlineStr">
        <is>
          <t>Automated sourcing/screening; Job order tracking; Candidate reactivation; Placement tracking; Client satisfaction program</t>
        </is>
      </c>
      <c r="F11" s="2" t="inlineStr">
        <is>
          <t>How quickly respond to new job orders?</t>
        </is>
      </c>
      <c r="G11" s="2" t="inlineStr">
        <is>
          <t>Open positions managed at once?</t>
        </is>
      </c>
      <c r="H11" s="2" t="inlineStr">
        <is>
          <t>Automated candidate screening?</t>
        </is>
      </c>
      <c r="I11" s="2" t="inlineStr">
        <is>
          <t>How do you re-engage past candidates?</t>
        </is>
      </c>
      <c r="J11" s="2" t="inlineStr">
        <is>
          <t>Placement and revenue tracking method?</t>
        </is>
      </c>
      <c r="K11" s="2" t="inlineStr">
        <is>
          <t>Rate candidate experience</t>
        </is>
      </c>
      <c r="L11" s="2" t="inlineStr">
        <is>
          <t>Biggest operational challenge?</t>
        </is>
      </c>
      <c r="M11" s="2" t="inlineStr">
        <is>
          <t>0.30</t>
        </is>
      </c>
      <c r="N11" s="2" t="inlineStr">
        <is>
          <t>0.25</t>
        </is>
      </c>
      <c r="O11" s="2" t="inlineStr">
        <is>
          <t>0.25</t>
        </is>
      </c>
      <c r="P11" s="2" t="inlineStr">
        <is>
          <t>0.20</t>
        </is>
      </c>
      <c r="Q11" s="2" t="inlineStr">
        <is>
          <t>{{niche}} agencies that automate sourcing fill roles 50% faster</t>
        </is>
      </c>
      <c r="R11" s="2" t="inlineStr">
        <is>
          <t>See how leading {{niche}} firms build deep candidate pipelines and keep clients loyal.</t>
        </is>
      </c>
      <c r="S11" s="2" t="inlineStr">
        <is>
          <t>Get Your Pipeline Assessment</t>
        </is>
      </c>
      <c r="T11" s="2" t="inlineStr">
        <is>
          <t>Used by 60+ {{niche}} firms and agencies</t>
        </is>
      </c>
      <c r="U11" s="2" t="inlineStr">
        <is>
          <t>Looking to place faster? This diagnostic finds your pipeline bottleneck.</t>
        </is>
      </c>
      <c r="V11" s="2" t="inlineStr">
        <is>
          <t>A quick assessment reveals where your sourcing and placement process is losing time.</t>
        </is>
      </c>
      <c r="W11" s="2" t="inlineStr">
        <is>
          <t>Take the Pipeline Assessment</t>
        </is>
      </c>
      <c r="X11" s="2" t="inlineStr">
        <is>
          <t>Agencies report 45% improvement in submittal-to-interview ratio</t>
        </is>
      </c>
      <c r="Y11" s="2" t="inlineStr">
        <is>
          <t>Let us build your {{niche}} placement automation this week</t>
        </is>
      </c>
      <c r="Z11" s="2" t="inlineStr">
        <is>
          <t>Book a strategy session and get a workflow tailored to your verticals and team.</t>
        </is>
      </c>
      <c r="AA11" s="2" t="inlineStr">
        <is>
          <t>Book Your Strategy Session</t>
        </is>
      </c>
      <c r="AB11" s="2" t="inlineStr">
        <is>
          <t>93% of {{niche}} agencies who book move forward within 2 weeks</t>
        </is>
      </c>
      <c r="AC11" s="2" t="inlineStr">
        <is>
          <t>Your {{niche}} pipeline automation is ready. Launch and start placing faster.</t>
        </is>
      </c>
      <c r="AD11" s="2" t="inlineStr">
        <is>
          <t>Candidate matching, client follow-up, and scheduling are configured. Go live today.</t>
        </is>
      </c>
      <c r="AE11" s="2" t="inlineStr">
        <is>
          <t>Go Live Now</t>
        </is>
      </c>
      <c r="AF11" s="2" t="inlineStr">
        <is>
          <t>Recruiters save an average of 12 hours per week with the automated pipeline</t>
        </is>
      </c>
      <c r="AG11" s="2" t="inlineStr">
        <is>
          <t>qualification, chat, lead-magnet, retention</t>
        </is>
      </c>
      <c r="AH11" s="2" t="inlineStr">
        <is>
          <t>Your {{niche}} pipeline efficiency report is inside</t>
        </is>
      </c>
      <c r="AI11" s="2" t="inlineStr">
        <is>
          <t>Why the fastest {{niche}} agencies win every placement</t>
        </is>
      </c>
      <c r="AJ11" s="2" t="inlineStr">
        <is>
          <t>How [Agency] doubled placements with automated matching</t>
        </is>
      </c>
      <c r="AK11" s="2" t="inlineStr">
        <is>
          <t>3 automations every {{niche}} agency needs</t>
        </is>
      </c>
      <c r="AL11" s="2" t="inlineStr">
        <is>
          <t>Your strategy session is reserved</t>
        </is>
      </c>
      <c r="AM11" s="2" t="inlineStr">
        <is>
          <t>Final reminder: your {{niche}} pipeline assessment expires tomorrow</t>
        </is>
      </c>
      <c r="AN11" s="2" t="inlineStr">
        <is>
          <t>What top-billing {{niche}} agencies do differently</t>
        </is>
      </c>
      <c r="AO11" s="2" t="inlineStr">
        <is>
          <t>Staffing Agency</t>
        </is>
      </c>
      <c r="AP11" s="2" t="inlineStr">
        <is>
          <t>staffing CRM, recruitment automation, candidate pipeline, placement tracking</t>
        </is>
      </c>
      <c r="AQ11" s="2" t="inlineStr">
        <is>
          <t>{{Niche}} Staffing Growth | Candidate Pipeline &amp; Placement | [Brand]</t>
        </is>
      </c>
      <c r="AR11" s="2" t="inlineStr">
        <is>
          <t>Place faster with automated candidate sourcing, client portals, and placement tracking.</t>
        </is>
      </c>
      <c r="AS11" s="2" t="inlineStr">
        <is>
          <t>Candidate Sourcing, Placement Pipeline, Client Relations, Timesheet Management</t>
        </is>
      </c>
      <c r="AT11" s="2" t="inlineStr">
        <is>
          <t>Staffing Agency, Recruitment Firm, Temp Agency, Executive Search</t>
        </is>
      </c>
      <c r="AU11" s="2" t="inlineStr">
        <is>
          <t>#0077B6</t>
        </is>
      </c>
      <c r="AV11" s="2" t="inlineStr">
        <is>
          <t>Dynamic, Professional, People-Focused</t>
        </is>
      </c>
      <c r="AW11" s="2" t="inlineStr">
        <is>
          <t>Poppins / Open Sans</t>
        </is>
      </c>
      <c r="AX11" s="2" t="inlineStr">
        <is>
          <t>Recruitment Tech, Candidate Experience, Client Retention, Staffing Operations</t>
        </is>
      </c>
      <c r="AY11" s="2" t="inlineStr">
        <is>
          <t>Staffing Landing + Pipeline Assessment</t>
        </is>
      </c>
    </row>
    <row r="12">
      <c r="A12" s="2" t="inlineStr">
        <is>
          <t>Faith</t>
        </is>
      </c>
      <c r="B12" s="2" t="inlineStr">
        <is>
          <t>church, ministry, mosque, synagogue, temple, parish, congregation, faith-based, nonprofit</t>
        </is>
      </c>
      <c r="C12" s="2" t="inlineStr">
        <is>
          <t>Paper attendance; No online giving; Manual volunteer scheduling; Fragmented communication; No small group management; Poor event coordination</t>
        </is>
      </c>
      <c r="D12" s="2" t="inlineStr">
        <is>
          <t>holiday season, capital campaign, mission trip, staff transition, building project, attendance decline, community event, budget season</t>
        </is>
      </c>
      <c r="E12" s="2" t="inlineStr">
        <is>
          <t>Member portal; Online giving platform; Volunteer scheduling; Event management; Communication hub</t>
        </is>
      </c>
      <c r="F12" s="2" t="inlineStr">
        <is>
          <t>How do you manage member info?</t>
        </is>
      </c>
      <c r="G12" s="2" t="inlineStr">
        <is>
          <t>Online giving method?</t>
        </is>
      </c>
      <c r="H12" s="2" t="inlineStr">
        <is>
          <t>Volunteer scheduling method?</t>
        </is>
      </c>
      <c r="I12" s="2" t="inlineStr">
        <is>
          <t>Congregation communication channels?</t>
        </is>
      </c>
      <c r="J12" s="2" t="inlineStr">
        <is>
          <t>Small group management?</t>
        </is>
      </c>
      <c r="K12" s="2" t="inlineStr">
        <is>
          <t>Rate digital engagement</t>
        </is>
      </c>
      <c r="L12" s="2" t="inlineStr">
        <is>
          <t>Biggest ministry challenge?</t>
        </is>
      </c>
      <c r="M12" s="2" t="inlineStr">
        <is>
          <t>0.20</t>
        </is>
      </c>
      <c r="N12" s="2" t="inlineStr">
        <is>
          <t>0.25</t>
        </is>
      </c>
      <c r="O12" s="2" t="inlineStr">
        <is>
          <t>0.30</t>
        </is>
      </c>
      <c r="P12" s="2" t="inlineStr">
        <is>
          <t>0.25</t>
        </is>
      </c>
      <c r="Q12" s="2" t="inlineStr">
        <is>
          <t>Churches that embrace digital tools see 40% higher engagement</t>
        </is>
      </c>
      <c r="R12" s="2" t="inlineStr">
        <is>
          <t>See how modern ministries strengthen community with technology, not replace it.</t>
        </is>
      </c>
      <c r="S12" s="2" t="inlineStr">
        <is>
          <t>Get Your Ministry Assessment</t>
        </is>
      </c>
      <c r="T12" s="2" t="inlineStr">
        <is>
          <t>Serving 100+ faith communities nationwide</t>
        </is>
      </c>
      <c r="U12" s="2" t="inlineStr">
        <is>
          <t>Looking to deepen engagement in your congregation? Start here.</t>
        </is>
      </c>
      <c r="V12" s="2" t="inlineStr">
        <is>
          <t>A quick assessment reveals your biggest opportunities for connection and growth.</t>
        </is>
      </c>
      <c r="W12" s="2" t="inlineStr">
        <is>
          <t>Take the Ministry Assessment</t>
        </is>
      </c>
      <c r="X12" s="2" t="inlineStr">
        <is>
          <t>Churches see 30% more volunteer participation within 60 days</t>
        </is>
      </c>
      <c r="Y12" s="2" t="inlineStr">
        <is>
          <t>Let us set up your ministry platform this week</t>
        </is>
      </c>
      <c r="Z12" s="2" t="inlineStr">
        <is>
          <t>Book a session and get a plan tailored to your congregation's unique needs.</t>
        </is>
      </c>
      <c r="AA12" s="2" t="inlineStr">
        <is>
          <t>Book Your Ministry Session</t>
        </is>
      </c>
      <c r="AB12" s="2" t="inlineStr">
        <is>
          <t>90% of churches that book move forward within 2 weeks</t>
        </is>
      </c>
      <c r="AC12" s="2" t="inlineStr">
        <is>
          <t>Your ministry platform is ready. Let us go live for your congregation.</t>
        </is>
      </c>
      <c r="AD12" s="2" t="inlineStr">
        <is>
          <t>Online giving, volunteer scheduling, and communication hub are configured.</t>
        </is>
      </c>
      <c r="AE12" s="2" t="inlineStr">
        <is>
          <t>Launch for Your Church</t>
        </is>
      </c>
      <c r="AF12" s="2" t="inlineStr">
        <is>
          <t>Churches report 50% increase in online giving within 90 days</t>
        </is>
      </c>
      <c r="AG12" s="2" t="inlineStr">
        <is>
          <t>lead-magnet, community, retention, authority</t>
        </is>
      </c>
      <c r="AH12" s="2" t="inlineStr">
        <is>
          <t>Your ministry technology report is inside</t>
        </is>
      </c>
      <c r="AI12" s="2" t="inlineStr">
        <is>
          <t>How churches are growing through digital engagement</t>
        </is>
      </c>
      <c r="AJ12" s="2" t="inlineStr">
        <is>
          <t>How [Church] doubled giving with online platform</t>
        </is>
      </c>
      <c r="AK12" s="2" t="inlineStr">
        <is>
          <t>3 tech tools every ministry needs today</t>
        </is>
      </c>
      <c r="AL12" s="2" t="inlineStr">
        <is>
          <t>Your ministry session is reserved</t>
        </is>
      </c>
      <c r="AM12" s="2" t="inlineStr">
        <is>
          <t>Last chance: your ministry assessment expires tomorrow</t>
        </is>
      </c>
      <c r="AN12" s="2" t="inlineStr">
        <is>
          <t>What thriving churches do differently with technology</t>
        </is>
      </c>
      <c r="AO12" s="2" t="inlineStr">
        <is>
          <t>Church</t>
        </is>
      </c>
      <c r="AP12" s="2" t="inlineStr">
        <is>
          <t>church management software, online giving platform, ministry tools, church volunteer scheduling</t>
        </is>
      </c>
      <c r="AQ12" s="2" t="inlineStr">
        <is>
          <t>Ministry Technology | Church Management &amp; Online Giving | [Brand]</t>
        </is>
      </c>
      <c r="AR12" s="2" t="inlineStr">
        <is>
          <t>Strengthen your ministry with member portals, online giving, volunteer scheduling, and communication tools.</t>
        </is>
      </c>
      <c r="AS12" s="2" t="inlineStr">
        <is>
          <t>Church Management, Online Giving, Volunteer Scheduling, Event Management, Small Groups</t>
        </is>
      </c>
      <c r="AT12" s="2" t="inlineStr">
        <is>
          <t>Church, Ministry, Religious Organization, Nonprofit, Faith Community</t>
        </is>
      </c>
      <c r="AU12" s="2" t="inlineStr">
        <is>
          <t>#7B2D8E</t>
        </is>
      </c>
      <c r="AV12" s="2" t="inlineStr">
        <is>
          <t>Warm, Community, Purposeful</t>
        </is>
      </c>
      <c r="AW12" s="2" t="inlineStr">
        <is>
          <t>Merriweather / Open Sans</t>
        </is>
      </c>
      <c r="AX12" s="2" t="inlineStr">
        <is>
          <t>Ministry Growth, Volunteer Management, Congregational Engagement, Faith Technology</t>
        </is>
      </c>
      <c r="AY12" s="2" t="inlineStr">
        <is>
          <t>Ministry Landing + Church Assessment</t>
        </is>
      </c>
    </row>
    <row r="13">
      <c r="A13" s="2" t="inlineStr">
        <is>
          <t>Creative</t>
        </is>
      </c>
      <c r="B13" s="2" t="inlineStr">
        <is>
          <t>design, photography, videography, graphic design, branding, web design, content creation, copywriting, marketing, advertising, creative agency, studio</t>
        </is>
      </c>
      <c r="C13" s="2" t="inlineStr">
        <is>
          <t>Feast-or-famine project pipeline; Clients undervalue creative work; Scope creep; No structured intake; Poor project tracking; No portfolio-to-lead conversion</t>
        </is>
      </c>
      <c r="D13" s="2" t="inlineStr">
        <is>
          <t>campaign deadline, product launch, rebrand, trade show, seasonal campaign, client presentation, pitch deadline, budget approval</t>
        </is>
      </c>
      <c r="E13" s="2" t="inlineStr">
        <is>
          <t>Creative project intake automation; Portfolio lead capture; Client communication portal; Review and approval workflows; Referral and testimonial engine</t>
        </is>
      </c>
      <c r="F13" s="2" t="inlineStr">
        <is>
          <t>How do you handle project inquiries?</t>
        </is>
      </c>
      <c r="G13" s="2" t="inlineStr">
        <is>
          <t>Active projects at once?</t>
        </is>
      </c>
      <c r="H13" s="2" t="inlineStr">
        <is>
          <t>Automated creative brief intake?</t>
        </is>
      </c>
      <c r="I13" s="2" t="inlineStr">
        <is>
          <t>Client review/approval process?</t>
        </is>
      </c>
      <c r="J13" s="2" t="inlineStr">
        <is>
          <t>Portfolio-to-lead conversion tracking?</t>
        </is>
      </c>
      <c r="K13" s="2" t="inlineStr">
        <is>
          <t>Rate client onboarding experience</t>
        </is>
      </c>
      <c r="L13" s="2" t="inlineStr">
        <is>
          <t>Biggest business challenge?</t>
        </is>
      </c>
      <c r="M13" s="2" t="inlineStr">
        <is>
          <t>0.25</t>
        </is>
      </c>
      <c r="N13" s="2" t="inlineStr">
        <is>
          <t>0.25</t>
        </is>
      </c>
      <c r="O13" s="2" t="inlineStr">
        <is>
          <t>0.30</t>
        </is>
      </c>
      <c r="P13" s="2" t="inlineStr">
        <is>
          <t>0.20</t>
        </is>
      </c>
      <c r="Q13" s="2" t="inlineStr">
        <is>
          <t>Creative agencies that automate intake land 30% more projects</t>
        </is>
      </c>
      <c r="R13" s="2" t="inlineStr">
        <is>
          <t>See how top studios streamline from inquiry to delivery while maintaining creative quality.</t>
        </is>
      </c>
      <c r="S13" s="2" t="inlineStr">
        <is>
          <t>Get Your Agency Assessment</t>
        </is>
      </c>
      <c r="T13" s="2" t="inlineStr">
        <is>
          <t>Used by 75+ creative studios and agencies</t>
        </is>
      </c>
      <c r="U13" s="2" t="inlineStr">
        <is>
          <t>Looking to grow your creative business? Start with this diagnostic.</t>
        </is>
      </c>
      <c r="V13" s="2" t="inlineStr">
        <is>
          <t>A quick assessment reveals where your creative workflow is losing time and revenue.</t>
        </is>
      </c>
      <c r="W13" s="2" t="inlineStr">
        <is>
          <t>Take the Agency Assessment</t>
        </is>
      </c>
      <c r="X13" s="2" t="inlineStr">
        <is>
          <t>Agencies report 40% faster project turnaround after automation</t>
        </is>
      </c>
      <c r="Y13" s="2" t="inlineStr">
        <is>
          <t>Let us build your creative workflow automation this week</t>
        </is>
      </c>
      <c r="Z13" s="2" t="inlineStr">
        <is>
          <t>Book a strategy session and get a plan to streamline intake, approvals, and delivery.</t>
        </is>
      </c>
      <c r="AA13" s="2" t="inlineStr">
        <is>
          <t>Book Your Strategy Session</t>
        </is>
      </c>
      <c r="AB13" s="2" t="inlineStr">
        <is>
          <t>91% of creative agencies who book move forward within 2 weeks</t>
        </is>
      </c>
      <c r="AC13" s="2" t="inlineStr">
        <is>
          <t>Your creative workflow platform is ready. Let us launch it.</t>
        </is>
      </c>
      <c r="AD13" s="2" t="inlineStr">
        <is>
          <t>Intake, approvals, and project tracking are configured. Pick your go-live date.</t>
        </is>
      </c>
      <c r="AE13" s="2" t="inlineStr">
        <is>
          <t>Go Live</t>
        </is>
      </c>
      <c r="AF13" s="2" t="inlineStr">
        <is>
          <t>Average 25% increase in billable hours after automation</t>
        </is>
      </c>
      <c r="AG13" s="2" t="inlineStr">
        <is>
          <t>lead-magnet, authority, qualification, referral</t>
        </is>
      </c>
      <c r="AH13" s="2" t="inlineStr">
        <is>
          <t>Your creative agency growth report is inside</t>
        </is>
      </c>
      <c r="AI13" s="2" t="inlineStr">
        <is>
          <t>Why top agencies never do unpaid spec work</t>
        </is>
      </c>
      <c r="AJ13" s="2" t="inlineStr">
        <is>
          <t>How [Studio] increased project margins 35% with workflow automation</t>
        </is>
      </c>
      <c r="AK13" s="2" t="inlineStr">
        <is>
          <t>3 automations every creative agency needs</t>
        </is>
      </c>
      <c r="AL13" s="2" t="inlineStr">
        <is>
          <t>Your strategy session is reserved</t>
        </is>
      </c>
      <c r="AM13" s="2" t="inlineStr">
        <is>
          <t>Final reminder: your agency assessment expires tomorrow</t>
        </is>
      </c>
      <c r="AN13" s="2" t="inlineStr">
        <is>
          <t>What award-winning agencies do differently behind the scenes</t>
        </is>
      </c>
      <c r="AO13" s="2" t="inlineStr">
        <is>
          <t>Advertising Agency</t>
        </is>
      </c>
      <c r="AP13" s="2" t="inlineStr">
        <is>
          <t>creative agency CRM, design studio management, project management for creatives, agency lead generation</t>
        </is>
      </c>
      <c r="AQ13" s="2" t="inlineStr">
        <is>
          <t>Creative Agency Growth | Workflow &amp; Client Automation | [Brand]</t>
        </is>
      </c>
      <c r="AR13" s="2" t="inlineStr">
        <is>
          <t>Grow your creative agency with automated intake, approvals, and project delivery workflows.</t>
        </is>
      </c>
      <c r="AS13" s="2" t="inlineStr">
        <is>
          <t>Project Management, Creative Brief, Client Approval, Portfolio, Lead Generation</t>
        </is>
      </c>
      <c r="AT13" s="2" t="inlineStr">
        <is>
          <t>Creative Agency, Design Studio, Marketing Agency, Production Company</t>
        </is>
      </c>
      <c r="AU13" s="2" t="inlineStr">
        <is>
          <t>#E63946</t>
        </is>
      </c>
      <c r="AV13" s="2" t="inlineStr">
        <is>
          <t>Creative, Bold, Distinctive</t>
        </is>
      </c>
      <c r="AW13" s="2" t="inlineStr">
        <is>
          <t>Space Grotesk / Inter</t>
        </is>
      </c>
      <c r="AX13" s="2" t="inlineStr">
        <is>
          <t>Creative Workflow, Agency Growth, Client Management, Portfolio Strategy</t>
        </is>
      </c>
      <c r="AY13" s="2" t="inlineStr">
        <is>
          <t>Creative Agency Landing + Workflow Assessment</t>
        </is>
      </c>
    </row>
    <row r="14">
      <c r="A14" s="2" t="inlineStr">
        <is>
          <t>General</t>
        </is>
      </c>
      <c r="B14" s="2" t="inlineStr">
        <is>
          <t>(catch-all for unmatched keywords)</t>
        </is>
      </c>
      <c r="C14" s="2" t="inlineStr">
        <is>
          <t>Missed follow-ups; Manual busywork; No growth system; Relying on word-of-mouth; No lead tracking; Owner stuck in operations</t>
        </is>
      </c>
      <c r="D14" s="2" t="inlineStr">
        <is>
          <t>seasonal rush, competitive pressure, scaling pain, staff turnover, revenue decline, new opportunity, market shift, expansion</t>
        </is>
      </c>
      <c r="E14" s="2" t="inlineStr">
        <is>
          <t>Done-for-you lead capture; Automated follow-up; Review generation; Customer retention; Growth system setup</t>
        </is>
      </c>
      <c r="F14" s="2" t="inlineStr">
        <is>
          <t>How quickly respond to inquiries?</t>
        </is>
      </c>
      <c r="G14" s="2" t="inlineStr">
        <is>
          <t>Monthly new leads?</t>
        </is>
      </c>
      <c r="H14" s="2" t="inlineStr">
        <is>
          <t>Automated follow-up?</t>
        </is>
      </c>
      <c r="I14" s="2" t="inlineStr">
        <is>
          <t>% repeat customers?</t>
        </is>
      </c>
      <c r="J14" s="2" t="inlineStr">
        <is>
          <t>Review collection method?</t>
        </is>
      </c>
      <c r="K14" s="2" t="inlineStr">
        <is>
          <t>Rate online visibility</t>
        </is>
      </c>
      <c r="L14" s="2" t="inlineStr">
        <is>
          <t>Biggest growth bottleneck?</t>
        </is>
      </c>
      <c r="M14" s="2" t="inlineStr">
        <is>
          <t>0.25</t>
        </is>
      </c>
      <c r="N14" s="2" t="inlineStr">
        <is>
          <t>0.25</t>
        </is>
      </c>
      <c r="O14" s="2" t="inlineStr">
        <is>
          <t>0.25</t>
        </is>
      </c>
      <c r="P14" s="2" t="inlineStr">
        <is>
          <t>0.25</t>
        </is>
      </c>
      <c r="Q14" s="2" t="inlineStr">
        <is>
          <t>Automate the busywork so you can focus on growth</t>
        </is>
      </c>
      <c r="R14" s="2" t="inlineStr">
        <is>
          <t>See how businesses like yours eliminate manual follow-up and capture more leads without hiring.</t>
        </is>
      </c>
      <c r="S14" s="2" t="inlineStr">
        <is>
          <t>Get Your Free Assessment</t>
        </is>
      </c>
      <c r="T14" s="2" t="inlineStr">
        <is>
          <t>Trusted by 200+ service businesses to automate their lead pipeline</t>
        </is>
      </c>
      <c r="U14" s="2" t="inlineStr">
        <is>
          <t>You have been exploring your options. Here is the fastest path forward.</t>
        </is>
      </c>
      <c r="V14" s="2" t="inlineStr">
        <is>
          <t>Based on what you have looked at, we recommend starting with a focused diagnostic.</t>
        </is>
      </c>
      <c r="W14" s="2" t="inlineStr">
        <is>
          <t>Take the Assessment</t>
        </is>
      </c>
      <c r="X14" s="2" t="inlineStr">
        <is>
          <t>Most businesses see results within the first 30 days</t>
        </is>
      </c>
      <c r="Y14" s="2" t="inlineStr">
        <is>
          <t>Ready to stop losing leads? Let us build your system this week.</t>
        </is>
      </c>
      <c r="Z14" s="2" t="inlineStr">
        <is>
          <t>Book a strategy session and walk away with a concrete plan tailored to your business.</t>
        </is>
      </c>
      <c r="AA14" s="2" t="inlineStr">
        <is>
          <t>Book Your Strategy Session</t>
        </is>
      </c>
      <c r="AB14" s="2" t="inlineStr">
        <is>
          <t>93% of strategy session attendees move forward within 2 weeks</t>
        </is>
      </c>
      <c r="AC14" s="2" t="inlineStr">
        <is>
          <t>Your growth system is ready. Let us get you started today.</t>
        </is>
      </c>
      <c r="AD14" s="2" t="inlineStr">
        <is>
          <t>We have everything we need to begin. Pick a time that works for you.</t>
        </is>
      </c>
      <c r="AE14" s="2" t="inlineStr">
        <is>
          <t>Start Now</t>
        </is>
      </c>
      <c r="AF14" s="2" t="inlineStr">
        <is>
          <t>Avg. 47% increase in qualified leads within 60 days</t>
        </is>
      </c>
      <c r="AG14" s="2" t="inlineStr">
        <is>
          <t>lead-magnet, qualification, chat, retention</t>
        </is>
      </c>
      <c r="AH14" s="2" t="inlineStr">
        <is>
          <t>Your growth roadmap is inside</t>
        </is>
      </c>
      <c r="AI14" s="2" t="inlineStr">
        <is>
          <t>The #1 mistake businesses make with leads</t>
        </is>
      </c>
      <c r="AJ14" s="2" t="inlineStr">
        <is>
          <t>How [Company] doubled bookings in 30 days</t>
        </is>
      </c>
      <c r="AK14" s="2" t="inlineStr">
        <is>
          <t>3 automations every business should run</t>
        </is>
      </c>
      <c r="AL14" s="2" t="inlineStr">
        <is>
          <t>We saved a spot for your strategy session</t>
        </is>
      </c>
      <c r="AM14" s="2" t="inlineStr">
        <is>
          <t>Last chance: your assessment results expire soon</t>
        </is>
      </c>
      <c r="AN14" s="2" t="inlineStr">
        <is>
          <t>What top businesses do differently</t>
        </is>
      </c>
      <c r="AO14" s="2" t="inlineStr">
        <is>
          <t>Business Service</t>
        </is>
      </c>
      <c r="AP14" s="2" t="inlineStr">
        <is>
          <t>lead generation, business automation, CRM setup, customer follow-up</t>
        </is>
      </c>
      <c r="AQ14" s="2" t="inlineStr">
        <is>
          <t>Business Growth | Lead Generation &amp; Automation | [Brand]</t>
        </is>
      </c>
      <c r="AR14" s="2" t="inlineStr">
        <is>
          <t>Grow your business with automated lead capture, follow-up, and customer retention.</t>
        </is>
      </c>
      <c r="AS14" s="2" t="inlineStr">
        <is>
          <t>Lead Generation, Customer Retention, Business Automation, Growth Strategy</t>
        </is>
      </c>
      <c r="AT14" s="2" t="inlineStr">
        <is>
          <t>Business Services, Professional Services, Consulting, Local Business</t>
        </is>
      </c>
      <c r="AU14" s="2" t="inlineStr">
        <is>
          <t>#1B4332</t>
        </is>
      </c>
      <c r="AV14" s="2" t="inlineStr">
        <is>
          <t>Professional, Approachable, Results-Driven</t>
        </is>
      </c>
      <c r="AW14" s="2" t="inlineStr">
        <is>
          <t>Inter / Source Sans Pro</t>
        </is>
      </c>
      <c r="AX14" s="2" t="inlineStr">
        <is>
          <t>Business Growth, Lead Management, Customer Experience, Automation Strategy</t>
        </is>
      </c>
      <c r="AY14" s="2" t="inlineStr">
        <is>
          <t>General Business Landing + Assessment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1" t="inlineStr">
        <is>
          <t>Niche</t>
        </is>
      </c>
      <c r="B1" s="1" t="inlineStr">
        <is>
          <t>Persona Type</t>
        </is>
      </c>
      <c r="C1" s="1" t="inlineStr">
        <is>
          <t>Name</t>
        </is>
      </c>
      <c r="D1" s="1" t="inlineStr">
        <is>
          <t>Voice Tone</t>
        </is>
      </c>
      <c r="E1" s="1" t="inlineStr">
        <is>
          <t>Backstory</t>
        </is>
      </c>
      <c r="F1" s="1" t="inlineStr">
        <is>
          <t>Expertise Areas</t>
        </is>
      </c>
      <c r="G1" s="1" t="inlineStr">
        <is>
          <t>Content Style</t>
        </is>
      </c>
      <c r="H1" s="1" t="inlineStr">
        <is>
          <t>Catchphrases</t>
        </is>
      </c>
      <c r="I1" s="1" t="inlineStr">
        <is>
          <t>Avatar Description</t>
        </is>
      </c>
      <c r="J1" s="1" t="inlineStr">
        <is>
          <t>Trust Signals</t>
        </is>
      </c>
      <c r="K1" s="1" t="inlineStr">
        <is>
          <t>Best Platform Match</t>
        </is>
      </c>
      <c r="L1" s="1" t="inlineStr">
        <is>
          <t>Content Frequency</t>
        </is>
      </c>
      <c r="M1" s="1" t="inlineStr">
        <is>
          <t>Engagement Strategy</t>
        </is>
      </c>
    </row>
    <row r="2">
      <c r="A2" s="2" t="inlineStr">
        <is>
          <t>Real Estate</t>
        </is>
      </c>
      <c r="B2" s="2" t="inlineStr">
        <is>
          <t>Expert</t>
        </is>
      </c>
      <c r="C2" s="2" t="inlineStr">
        <is>
          <t>Alex Morgan</t>
        </is>
      </c>
      <c r="D2" s="2" t="inlineStr">
        <is>
          <t>Authoritative and direct</t>
        </is>
      </c>
      <c r="E2" s="2" t="inlineStr">
        <is>
          <t>Closed over 500 deals in 12 years across residential and commercial markets.</t>
        </is>
      </c>
      <c r="F2" s="2" t="inlineStr">
        <is>
          <t>Market analysis, negotiation, investment properties, first-time buyers</t>
        </is>
      </c>
      <c r="G2" s="2" t="inlineStr">
        <is>
          <t>Data-driven insights with clear action steps</t>
        </is>
      </c>
      <c r="H2" s="2" t="inlineStr">
        <is>
          <t>The numbers never lie. | Buy the neighborhood, not just the house.</t>
        </is>
      </c>
      <c r="I2" s="2" t="inlineStr">
        <is>
          <t>Professional headshot in blazer, confident posture</t>
        </is>
      </c>
      <c r="J2" s="2" t="inlineStr">
        <is>
          <t>Licensed Realtor since 2012, Top 1% producer, $200M in closed deals</t>
        </is>
      </c>
      <c r="K2" s="2" t="inlineStr">
        <is>
          <t>LinkedIn, YouTube</t>
        </is>
      </c>
      <c r="L2" s="2" t="inlineStr">
        <is>
          <t>3x/week</t>
        </is>
      </c>
      <c r="M2" s="2" t="inlineStr">
        <is>
          <t>Market reports, Q&amp;A sessions</t>
        </is>
      </c>
    </row>
    <row r="3">
      <c r="A3" s="2" t="inlineStr">
        <is>
          <t>Real Estate</t>
        </is>
      </c>
      <c r="B3" s="2" t="inlineStr">
        <is>
          <t>Technician</t>
        </is>
      </c>
      <c r="C3" s="2" t="inlineStr">
        <is>
          <t>Jordan Lee</t>
        </is>
      </c>
      <c r="D3" s="2" t="inlineStr">
        <is>
          <t>Precise and methodical</t>
        </is>
      </c>
      <c r="E3" s="2" t="inlineStr">
        <is>
          <t>Former property appraiser turned buyer's agent with deep valuation expertise.</t>
        </is>
      </c>
      <c r="F3" s="2" t="inlineStr">
        <is>
          <t>Property valuation, inspection analysis, zoning laws, title issues</t>
        </is>
      </c>
      <c r="G3" s="2" t="inlineStr">
        <is>
          <t>Step-by-step breakdowns with checklists</t>
        </is>
      </c>
      <c r="H3" s="2" t="inlineStr">
        <is>
          <t>Always inspect the foundation first. | Details make or break a deal.</t>
        </is>
      </c>
      <c r="I3" s="2" t="inlineStr">
        <is>
          <t>Casual professional with property documents</t>
        </is>
      </c>
      <c r="J3" s="2" t="inlineStr">
        <is>
          <t>Certified Appraiser, 10 years valuation experience</t>
        </is>
      </c>
      <c r="K3" s="2" t="inlineStr">
        <is>
          <t>YouTube, LinkedIn</t>
        </is>
      </c>
      <c r="L3" s="2" t="inlineStr">
        <is>
          <t>2x/week</t>
        </is>
      </c>
      <c r="M3" s="2" t="inlineStr">
        <is>
          <t>Inspection guides, valuation breakdowns</t>
        </is>
      </c>
    </row>
    <row r="4">
      <c r="A4" s="2" t="inlineStr">
        <is>
          <t>Real Estate</t>
        </is>
      </c>
      <c r="B4" s="2" t="inlineStr">
        <is>
          <t>Advisor</t>
        </is>
      </c>
      <c r="C4" s="2" t="inlineStr">
        <is>
          <t>Sam Rivera</t>
        </is>
      </c>
      <c r="D4" s="2" t="inlineStr">
        <is>
          <t>Warm, consultative</t>
        </is>
      </c>
      <c r="E4" s="2" t="inlineStr">
        <is>
          <t>Helped 300+ families navigate their first home purchase with zero stress.</t>
        </is>
      </c>
      <c r="F4" s="2" t="inlineStr">
        <is>
          <t>Buyer strategy, financing options, neighborhood selection, relocation</t>
        </is>
      </c>
      <c r="G4" s="2" t="inlineStr">
        <is>
          <t>Question-led content that uncovers client goals</t>
        </is>
      </c>
      <c r="H4" s="2" t="inlineStr">
        <is>
          <t>Your home should fit your life. | Let us make this simple.</t>
        </is>
      </c>
      <c r="I4" s="2" t="inlineStr">
        <is>
          <t>Approachable smile, home office background</t>
        </is>
      </c>
      <c r="J4" s="2" t="inlineStr">
        <is>
          <t>300+ families served, 5-star Zillow reviews, No-pressure process</t>
        </is>
      </c>
      <c r="K4" s="2" t="inlineStr">
        <is>
          <t>Instagram, Facebook</t>
        </is>
      </c>
      <c r="L4" s="2" t="inlineStr">
        <is>
          <t>4x/week</t>
        </is>
      </c>
      <c r="M4" s="2" t="inlineStr">
        <is>
          <t>Client stories, neighborhood tours</t>
        </is>
      </c>
    </row>
    <row r="5">
      <c r="A5" s="2" t="inlineStr">
        <is>
          <t>Real Estate</t>
        </is>
      </c>
      <c r="B5" s="2" t="inlineStr">
        <is>
          <t>Educator</t>
        </is>
      </c>
      <c r="C5" s="2" t="inlineStr">
        <is>
          <t>Chris Patel</t>
        </is>
      </c>
      <c r="D5" s="2" t="inlineStr">
        <is>
          <t>Clear and patient</t>
        </is>
      </c>
      <c r="E5" s="2" t="inlineStr">
        <is>
          <t>Taught real estate investing workshops to 5,000+ students online.</t>
        </is>
      </c>
      <c r="F5" s="2" t="inlineStr">
        <is>
          <t>RE fundamentals, investing 101, cash flow analysis, BRRRR method</t>
        </is>
      </c>
      <c r="G5" s="2" t="inlineStr">
        <is>
          <t>Explainer videos with graphics and analogies</t>
        </is>
      </c>
      <c r="H5" s="2" t="inlineStr">
        <is>
          <t>If I can explain it simply, you can act on it. | Knowledge is leverage.</t>
        </is>
      </c>
      <c r="I5" s="2" t="inlineStr">
        <is>
          <t>Teaching pose with whiteboard or slides</t>
        </is>
      </c>
      <c r="J5" s="2" t="inlineStr">
        <is>
          <t>5,000+ students taught, Author of 'Real Estate Made Simple'</t>
        </is>
      </c>
      <c r="K5" s="2" t="inlineStr">
        <is>
          <t>YouTube, TikTok</t>
        </is>
      </c>
      <c r="L5" s="2" t="inlineStr">
        <is>
          <t>5x/week</t>
        </is>
      </c>
      <c r="M5" s="2" t="inlineStr">
        <is>
          <t>Tutorials, myth-busting, live Q&amp;A</t>
        </is>
      </c>
    </row>
    <row r="6">
      <c r="A6" s="2" t="inlineStr">
        <is>
          <t>Real Estate</t>
        </is>
      </c>
      <c r="B6" s="2" t="inlineStr">
        <is>
          <t>Storyteller</t>
        </is>
      </c>
      <c r="C6" s="2" t="inlineStr">
        <is>
          <t>Riley Chen</t>
        </is>
      </c>
      <c r="D6" s="2" t="inlineStr">
        <is>
          <t>Relatable and engaging</t>
        </is>
      </c>
      <c r="E6" s="2" t="inlineStr">
        <is>
          <t>Bought first property at 24 with $5k down. Now helps others do the same.</t>
        </is>
      </c>
      <c r="F6" s="2" t="inlineStr">
        <is>
          <t>Low down payment strategies, house hacking, creative financing</t>
        </is>
      </c>
      <c r="G6" s="2" t="inlineStr">
        <is>
          <t>Personal narratives tied to practical lessons</t>
        </is>
      </c>
      <c r="H6" s="2" t="inlineStr">
        <is>
          <t>I made this mistake so you do not have to. | Your story starts with a key.</t>
        </is>
      </c>
      <c r="I6" s="2" t="inlineStr">
        <is>
          <t>Candid lifestyle photo at property</t>
        </is>
      </c>
      <c r="J6" s="2" t="inlineStr">
        <is>
          <t>Personal investor journey documented, 20k followers community</t>
        </is>
      </c>
      <c r="K6" s="2" t="inlineStr">
        <is>
          <t>TikTok, Instagram</t>
        </is>
      </c>
      <c r="L6" s="2" t="inlineStr">
        <is>
          <t>Daily</t>
        </is>
      </c>
      <c r="M6" s="2" t="inlineStr">
        <is>
          <t>Personal stories, behind-the-scenes</t>
        </is>
      </c>
    </row>
    <row r="7">
      <c r="A7" s="2" t="inlineStr">
        <is>
          <t>Real Estate</t>
        </is>
      </c>
      <c r="B7" s="2" t="inlineStr">
        <is>
          <t>Local-Authority</t>
        </is>
      </c>
      <c r="C7" s="2" t="inlineStr">
        <is>
          <t>Taylor Brooks</t>
        </is>
      </c>
      <c r="D7" s="2" t="inlineStr">
        <is>
          <t>Community-focused and proud</t>
        </is>
      </c>
      <c r="E7" s="2" t="inlineStr">
        <is>
          <t>Born and raised locally. Knows every street, school, and hidden gem.</t>
        </is>
      </c>
      <c r="F7" s="2" t="inlineStr">
        <is>
          <t>Local market trends, neighborhood insights, school districts, commute routes</t>
        </is>
      </c>
      <c r="G7" s="2" t="inlineStr">
        <is>
          <t>Local market reports and neighborhood tours</t>
        </is>
      </c>
      <c r="H7" s="2" t="inlineStr">
        <is>
          <t>This is my city — I know every corner. | Hyperlocal knowledge, real results.</t>
        </is>
      </c>
      <c r="I7" s="2" t="inlineStr">
        <is>
          <t>Out in community with local landmarks</t>
        </is>
      </c>
      <c r="J7" s="2" t="inlineStr">
        <is>
          <t>Born and raised locally, 50+ local transactions, Community board member</t>
        </is>
      </c>
      <c r="K7" s="2" t="inlineStr">
        <is>
          <t>Facebook, Instagram</t>
        </is>
      </c>
      <c r="L7" s="2" t="inlineStr">
        <is>
          <t>3x/week</t>
        </is>
      </c>
      <c r="M7" s="2" t="inlineStr">
        <is>
          <t>Neighborhood spotlights, market updates</t>
        </is>
      </c>
    </row>
    <row r="8">
      <c r="A8" s="2" t="inlineStr">
        <is>
          <t>Fitness</t>
        </is>
      </c>
      <c r="B8" s="2" t="inlineStr">
        <is>
          <t>Expert</t>
        </is>
      </c>
      <c r="C8" s="2" t="inlineStr">
        <is>
          <t>Dr. Marcus Webb</t>
        </is>
      </c>
      <c r="D8" s="2" t="inlineStr">
        <is>
          <t>Scientific and credible</t>
        </is>
      </c>
      <c r="E8" s="2" t="inlineStr">
        <is>
          <t>Exercise physiologist with PhD and 15 years applied sports science research.</t>
        </is>
      </c>
      <c r="F8" s="2" t="inlineStr">
        <is>
          <t>Periodization, VO2 max training, body composition, injury prevention</t>
        </is>
      </c>
      <c r="G8" s="2" t="inlineStr">
        <is>
          <t>Research-backed frameworks with practical protocols</t>
        </is>
      </c>
      <c r="H8" s="2" t="inlineStr">
        <is>
          <t>Science says, your body responds. | Train with evidence, not emotion.</t>
        </is>
      </c>
      <c r="I8" s="2" t="inlineStr">
        <is>
          <t>Lab or gym setting, professional attire</t>
        </is>
      </c>
      <c r="J8" s="2" t="inlineStr">
        <is>
          <t>PhD Exercise Physiology, 15 publications, NSCA certified</t>
        </is>
      </c>
      <c r="K8" s="2" t="inlineStr">
        <is>
          <t>LinkedIn, YouTube</t>
        </is>
      </c>
      <c r="L8" s="2" t="inlineStr">
        <is>
          <t>2x/week</t>
        </is>
      </c>
      <c r="M8" s="2" t="inlineStr">
        <is>
          <t>Research breakdowns, protocol shares</t>
        </is>
      </c>
    </row>
    <row r="9">
      <c r="A9" s="2" t="inlineStr">
        <is>
          <t>Fitness</t>
        </is>
      </c>
      <c r="B9" s="2" t="inlineStr">
        <is>
          <t>Technician</t>
        </is>
      </c>
      <c r="C9" s="2" t="inlineStr">
        <is>
          <t>Casey Flynn</t>
        </is>
      </c>
      <c r="D9" s="2" t="inlineStr">
        <is>
          <t>Detailed and instructional</t>
        </is>
      </c>
      <c r="E9" s="2" t="inlineStr">
        <is>
          <t>Certified strength coach specializing in biomechanics and movement quality.</t>
        </is>
      </c>
      <c r="F9" s="2" t="inlineStr">
        <is>
          <t>Movement assessment, form correction, programming design, mobility</t>
        </is>
      </c>
      <c r="G9" s="2" t="inlineStr">
        <is>
          <t>Form breakdowns and technique drills</t>
        </is>
      </c>
      <c r="H9" s="2" t="inlineStr">
        <is>
          <t>Form first, weight second. | Move better, perform better.</t>
        </is>
      </c>
      <c r="I9" s="2" t="inlineStr">
        <is>
          <t>In gym demonstrating technique</t>
        </is>
      </c>
      <c r="J9" s="2" t="inlineStr">
        <is>
          <t>CSCS certified, Used by pro athletes, 10k+ form corrections</t>
        </is>
      </c>
      <c r="K9" s="2" t="inlineStr">
        <is>
          <t>YouTube, Instagram</t>
        </is>
      </c>
      <c r="L9" s="2" t="inlineStr">
        <is>
          <t>4x/week</t>
        </is>
      </c>
      <c r="M9" s="2" t="inlineStr">
        <is>
          <t>Form demos, technique drills</t>
        </is>
      </c>
    </row>
    <row r="10">
      <c r="A10" s="2" t="inlineStr">
        <is>
          <t>Fitness</t>
        </is>
      </c>
      <c r="B10" s="2" t="inlineStr">
        <is>
          <t>Advisor</t>
        </is>
      </c>
      <c r="C10" s="2" t="inlineStr">
        <is>
          <t>Morgan Ellis</t>
        </is>
      </c>
      <c r="D10" s="2" t="inlineStr">
        <is>
          <t>Supportive and personalized</t>
        </is>
      </c>
      <c r="E10" s="2" t="inlineStr">
        <is>
          <t>Online coach helping 1,000+ clients reach goals with sustainable habits.</t>
        </is>
      </c>
      <c r="F10" s="2" t="inlineStr">
        <is>
          <t>Habit formation, accountability, lifestyle fitness, nutrition basics</t>
        </is>
      </c>
      <c r="G10" s="2" t="inlineStr">
        <is>
          <t>Client transformation stories and habit frameworks</t>
        </is>
      </c>
      <c r="H10" s="2" t="inlineStr">
        <is>
          <t>Progress over perfection, always. | Sustainable beats extreme.</t>
        </is>
      </c>
      <c r="I10" s="2" t="inlineStr">
        <is>
          <t>Warm, approachable, transformation context</t>
        </is>
      </c>
      <c r="J10" s="2" t="inlineStr">
        <is>
          <t>1,000+ transformations, Featured in Shape Magazine</t>
        </is>
      </c>
      <c r="K10" s="2" t="inlineStr">
        <is>
          <t>Instagram, Facebook</t>
        </is>
      </c>
      <c r="L10" s="2" t="inlineStr">
        <is>
          <t>Daily</t>
        </is>
      </c>
      <c r="M10" s="2" t="inlineStr">
        <is>
          <t>Transformations, habit tips, AMAs</t>
        </is>
      </c>
    </row>
    <row r="11">
      <c r="A11" s="2" t="inlineStr">
        <is>
          <t>Fitness</t>
        </is>
      </c>
      <c r="B11" s="2" t="inlineStr">
        <is>
          <t>Educator</t>
        </is>
      </c>
      <c r="C11" s="2" t="inlineStr">
        <is>
          <t>Jamie Russo</t>
        </is>
      </c>
      <c r="D11" s="2" t="inlineStr">
        <is>
          <t>Enthusiastic and clear</t>
        </is>
      </c>
      <c r="E11" s="2" t="inlineStr">
        <is>
          <t>Fitness educator demystifying nutrition and exercise for beginners.</t>
        </is>
      </c>
      <c r="F11" s="2" t="inlineStr">
        <is>
          <t>Nutrition fundamentals, beginner programming, sleep, stress</t>
        </is>
      </c>
      <c r="G11" s="2" t="inlineStr">
        <is>
          <t>Myth-busting and explainer content</t>
        </is>
      </c>
      <c r="H11" s="2" t="inlineStr">
        <is>
          <t>Let us cut through the noise. | Simple beats complex.</t>
        </is>
      </c>
      <c r="I11" s="2" t="inlineStr">
        <is>
          <t>Clean background, educational props</t>
        </is>
      </c>
      <c r="J11" s="2" t="inlineStr">
        <is>
          <t>50k YouTube subscribers, Certified Nutritionist</t>
        </is>
      </c>
      <c r="K11" s="2" t="inlineStr">
        <is>
          <t>YouTube, TikTok</t>
        </is>
      </c>
      <c r="L11" s="2" t="inlineStr">
        <is>
          <t>5x/week</t>
        </is>
      </c>
      <c r="M11" s="2" t="inlineStr">
        <is>
          <t>Myth-busting, tutorials, challenges</t>
        </is>
      </c>
    </row>
    <row r="12">
      <c r="A12" s="2" t="inlineStr">
        <is>
          <t>Fitness</t>
        </is>
      </c>
      <c r="B12" s="2" t="inlineStr">
        <is>
          <t>Storyteller</t>
        </is>
      </c>
      <c r="C12" s="2" t="inlineStr">
        <is>
          <t>Avery Kim</t>
        </is>
      </c>
      <c r="D12" s="2" t="inlineStr">
        <is>
          <t>Vulnerable and motivational</t>
        </is>
      </c>
      <c r="E12" s="2" t="inlineStr">
        <is>
          <t>Lost 80 pounds after years of failed diets. Coaches from lived experience.</t>
        </is>
      </c>
      <c r="F12" s="2" t="inlineStr">
        <is>
          <t>Weight loss mindset, emotional eating, sustainable habits</t>
        </is>
      </c>
      <c r="G12" s="2" t="inlineStr">
        <is>
          <t>Raw personal story woven with actionable lessons</t>
        </is>
      </c>
      <c r="H12" s="2" t="inlineStr">
        <is>
          <t>I have been exactly where you are. | Your body is not the enemy.</t>
        </is>
      </c>
      <c r="I12" s="2" t="inlineStr">
        <is>
          <t>Authentic candid shots, relatable environments</t>
        </is>
      </c>
      <c r="J12" s="2" t="inlineStr">
        <is>
          <t>Personal journey documented, 30k community, Certified life coach</t>
        </is>
      </c>
      <c r="K12" s="2" t="inlineStr">
        <is>
          <t>TikTok, Instagram</t>
        </is>
      </c>
      <c r="L12" s="2" t="inlineStr">
        <is>
          <t>Daily</t>
        </is>
      </c>
      <c r="M12" s="2" t="inlineStr">
        <is>
          <t>Personal journey, daily motivation</t>
        </is>
      </c>
    </row>
    <row r="13">
      <c r="A13" s="2" t="inlineStr">
        <is>
          <t>Fitness</t>
        </is>
      </c>
      <c r="B13" s="2" t="inlineStr">
        <is>
          <t>Local-Authority</t>
        </is>
      </c>
      <c r="C13" s="2" t="inlineStr">
        <is>
          <t>Devon Price</t>
        </is>
      </c>
      <c r="D13" s="2" t="inlineStr">
        <is>
          <t>Community-driven</t>
        </is>
      </c>
      <c r="E13" s="2" t="inlineStr">
        <is>
          <t>Owns local gym and leads weekend outdoor fitness groups.</t>
        </is>
      </c>
      <c r="F13" s="2" t="inlineStr">
        <is>
          <t>Group fitness, outdoor training, community wellness, local events</t>
        </is>
      </c>
      <c r="G13" s="2" t="inlineStr">
        <is>
          <t>Local event coverage and community challenge content</t>
        </is>
      </c>
      <c r="H13" s="2" t="inlineStr">
        <is>
          <t>Fitness is better together. | Your neighborhood gym, your community.</t>
        </is>
      </c>
      <c r="I13" s="2" t="inlineStr">
        <is>
          <t>Group shot outdoors or in local gym</t>
        </is>
      </c>
      <c r="J13" s="2" t="inlineStr">
        <is>
          <t>Local gym owner 8 years, 500+ local members, City wellness ambassador</t>
        </is>
      </c>
      <c r="K13" s="2" t="inlineStr">
        <is>
          <t>Facebook, Instagram</t>
        </is>
      </c>
      <c r="L13" s="2" t="inlineStr">
        <is>
          <t>3x/week</t>
        </is>
      </c>
      <c r="M13" s="2" t="inlineStr">
        <is>
          <t>Local events, community challenges</t>
        </is>
      </c>
    </row>
    <row r="14">
      <c r="A14" s="2" t="inlineStr">
        <is>
          <t>Finance</t>
        </is>
      </c>
      <c r="B14" s="2" t="inlineStr">
        <is>
          <t>Expert</t>
        </is>
      </c>
      <c r="C14" s="2" t="inlineStr">
        <is>
          <t>Victoria Grant</t>
        </is>
      </c>
      <c r="D14" s="2" t="inlineStr">
        <is>
          <t>Authoritative and measured</t>
        </is>
      </c>
      <c r="E14" s="2" t="inlineStr">
        <is>
          <t>CFA with 20 years in wealth management serving UHNW clients.</t>
        </is>
      </c>
      <c r="F14" s="2" t="inlineStr">
        <is>
          <t>Wealth preservation, tax strategies, estate planning, alternative investments</t>
        </is>
      </c>
      <c r="G14" s="2" t="inlineStr">
        <is>
          <t>Data-backed analysis with clear recommendations</t>
        </is>
      </c>
      <c r="H14" s="2" t="inlineStr">
        <is>
          <t>Wealth is built in decades, not days. | The spreadsheet does not lie.</t>
        </is>
      </c>
      <c r="I14" s="2" t="inlineStr">
        <is>
          <t>Corporate headshot, financial district background</t>
        </is>
      </c>
      <c r="J14" s="2" t="inlineStr">
        <is>
          <t>CFA charterholder, $500M AUM, Featured in Bloomberg</t>
        </is>
      </c>
      <c r="K14" s="2" t="inlineStr">
        <is>
          <t>LinkedIn, YouTube</t>
        </is>
      </c>
      <c r="L14" s="2" t="inlineStr">
        <is>
          <t>2x/week</t>
        </is>
      </c>
      <c r="M14" s="2" t="inlineStr">
        <is>
          <t>Market analysis, tax strategy deep-dives</t>
        </is>
      </c>
    </row>
    <row r="15">
      <c r="A15" s="2" t="inlineStr">
        <is>
          <t>Finance</t>
        </is>
      </c>
      <c r="B15" s="2" t="inlineStr">
        <is>
          <t>Technician</t>
        </is>
      </c>
      <c r="C15" s="2" t="inlineStr">
        <is>
          <t>Nathan Cruz</t>
        </is>
      </c>
      <c r="D15" s="2" t="inlineStr">
        <is>
          <t>Analytical and precise</t>
        </is>
      </c>
      <c r="E15" s="2" t="inlineStr">
        <is>
          <t>Former auditor turned financial planner with forensic attention to detail.</t>
        </is>
      </c>
      <c r="F15" s="2" t="inlineStr">
        <is>
          <t>Tax optimization, audit preparation, financial modeling, compliance</t>
        </is>
      </c>
      <c r="G15" s="2" t="inlineStr">
        <is>
          <t>Detailed walkthroughs with spreadsheet examples</t>
        </is>
      </c>
      <c r="H15" s="2" t="inlineStr">
        <is>
          <t>Every dollar has a destination. | The details are the strategy.</t>
        </is>
      </c>
      <c r="I15" s="2" t="inlineStr">
        <is>
          <t>Professional with laptop and financial docs</t>
        </is>
      </c>
      <c r="J15" s="2" t="inlineStr">
        <is>
          <t>CPA, Former Big 4 auditor, 500+ tax plans completed</t>
        </is>
      </c>
      <c r="K15" s="2" t="inlineStr">
        <is>
          <t>LinkedIn, YouTube</t>
        </is>
      </c>
      <c r="L15" s="2" t="inlineStr">
        <is>
          <t>2x/week</t>
        </is>
      </c>
      <c r="M15" s="2" t="inlineStr">
        <is>
          <t>Tax tips, spreadsheet tutorials</t>
        </is>
      </c>
    </row>
    <row r="16">
      <c r="A16" s="2" t="inlineStr">
        <is>
          <t>Finance</t>
        </is>
      </c>
      <c r="B16" s="2" t="inlineStr">
        <is>
          <t>Advisor</t>
        </is>
      </c>
      <c r="C16" s="2" t="inlineStr">
        <is>
          <t>Priya Nair</t>
        </is>
      </c>
      <c r="D16" s="2" t="inlineStr">
        <is>
          <t>Warm and consultative</t>
        </is>
      </c>
      <c r="E16" s="2" t="inlineStr">
        <is>
          <t>Helps families build generational wealth with personalized financial plans.</t>
        </is>
      </c>
      <c r="F16" s="2" t="inlineStr">
        <is>
          <t>Retirement planning, college savings, insurance, budgeting</t>
        </is>
      </c>
      <c r="G16" s="2" t="inlineStr">
        <is>
          <t>Conversational content connecting money to life goals</t>
        </is>
      </c>
      <c r="H16" s="2" t="inlineStr">
        <is>
          <t>Your money should serve your life. | Plan for the life you want.</t>
        </is>
      </c>
      <c r="I16" s="2" t="inlineStr">
        <is>
          <t>Welcoming office, family photos visible</t>
        </is>
      </c>
      <c r="J16" s="2" t="inlineStr">
        <is>
          <t>CFP, 1,000+ families served, 4.9-star rating</t>
        </is>
      </c>
      <c r="K16" s="2" t="inlineStr">
        <is>
          <t>Instagram, Facebook</t>
        </is>
      </c>
      <c r="L16" s="2" t="inlineStr">
        <is>
          <t>3x/week</t>
        </is>
      </c>
      <c r="M16" s="2" t="inlineStr">
        <is>
          <t>Life-stage financial tips, Q&amp;A</t>
        </is>
      </c>
    </row>
    <row r="17">
      <c r="A17" s="2" t="inlineStr">
        <is>
          <t>Finance</t>
        </is>
      </c>
      <c r="B17" s="2" t="inlineStr">
        <is>
          <t>Educator</t>
        </is>
      </c>
      <c r="C17" s="2" t="inlineStr">
        <is>
          <t>Isaiah Turner</t>
        </is>
      </c>
      <c r="D17" s="2" t="inlineStr">
        <is>
          <t>Patient and empowering</t>
        </is>
      </c>
      <c r="E17" s="2" t="inlineStr">
        <is>
          <t>Financial literacy advocate making money management accessible to everyone.</t>
        </is>
      </c>
      <c r="F17" s="2" t="inlineStr">
        <is>
          <t>Budgeting basics, debt elimination, investing 101, credit building</t>
        </is>
      </c>
      <c r="G17" s="2" t="inlineStr">
        <is>
          <t>Step-by-step guides with real-world examples</t>
        </is>
      </c>
      <c r="H17" s="2" t="inlineStr">
        <is>
          <t>Financial freedom starts with one good decision. | You can learn this.</t>
        </is>
      </c>
      <c r="I17" s="2" t="inlineStr">
        <is>
          <t>Whiteboard/classroom setting</t>
        </is>
      </c>
      <c r="J17" s="2" t="inlineStr">
        <is>
          <t>Financial literacy educator, 100k social following, Published author</t>
        </is>
      </c>
      <c r="K17" s="2" t="inlineStr">
        <is>
          <t>YouTube, TikTok</t>
        </is>
      </c>
      <c r="L17" s="2" t="inlineStr">
        <is>
          <t>5x/week</t>
        </is>
      </c>
      <c r="M17" s="2" t="inlineStr">
        <is>
          <t>Tutorials, myth-busting, calculators</t>
        </is>
      </c>
    </row>
    <row r="18">
      <c r="A18" s="2" t="inlineStr">
        <is>
          <t>Finance</t>
        </is>
      </c>
      <c r="B18" s="2" t="inlineStr">
        <is>
          <t>Storyteller</t>
        </is>
      </c>
      <c r="C18" s="2" t="inlineStr">
        <is>
          <t>Brianna Hayes</t>
        </is>
      </c>
      <c r="D18" s="2" t="inlineStr">
        <is>
          <t>Vulnerable and relatable</t>
        </is>
      </c>
      <c r="E18" s="2" t="inlineStr">
        <is>
          <t>Paid off $200k in debt and now helps others escape the debt cycle.</t>
        </is>
      </c>
      <c r="F18" s="2" t="inlineStr">
        <is>
          <t>Debt payoff strategies, mindset shifts, side income, frugal living</t>
        </is>
      </c>
      <c r="G18" s="2" t="inlineStr">
        <is>
          <t>Personal debt journey with practical takeaways</t>
        </is>
      </c>
      <c r="H18" s="2" t="inlineStr">
        <is>
          <t>I was $200k in the hole. Here is how I climbed out. | Your past does not define your portfolio.</t>
        </is>
      </c>
      <c r="I18" s="2" t="inlineStr">
        <is>
          <t>Lifestyle candid, casual setting</t>
        </is>
      </c>
      <c r="J18" s="2" t="inlineStr">
        <is>
          <t>Documented $200k debt payoff, 50k community, Media features</t>
        </is>
      </c>
      <c r="K18" s="2" t="inlineStr">
        <is>
          <t>TikTok, Instagram</t>
        </is>
      </c>
      <c r="L18" s="2" t="inlineStr">
        <is>
          <t>Daily</t>
        </is>
      </c>
      <c r="M18" s="2" t="inlineStr">
        <is>
          <t>Debt payoff journey, money tips</t>
        </is>
      </c>
    </row>
    <row r="19">
      <c r="A19" s="2" t="inlineStr">
        <is>
          <t>Finance</t>
        </is>
      </c>
      <c r="B19" s="2" t="inlineStr">
        <is>
          <t>Local-Authority</t>
        </is>
      </c>
      <c r="C19" s="2" t="inlineStr">
        <is>
          <t>Leo Santos</t>
        </is>
      </c>
      <c r="D19" s="2" t="inlineStr">
        <is>
          <t>Community-connected</t>
        </is>
      </c>
      <c r="E19" s="2" t="inlineStr">
        <is>
          <t>Local bank advisor supporting small businesses and first-gen homebuyers.</t>
        </is>
      </c>
      <c r="F19" s="2" t="inlineStr">
        <is>
          <t>Small business lending, first-time mortgages, community development, local grants</t>
        </is>
      </c>
      <c r="G19" s="2" t="inlineStr">
        <is>
          <t>Local business spotlights and community financial guides</t>
        </is>
      </c>
      <c r="H19" s="2" t="inlineStr">
        <is>
          <t>This community built me. I build it back. | Local knowledge, real results.</t>
        </is>
      </c>
      <c r="I19" s="2" t="inlineStr">
        <is>
          <t>Community setting, local business backdrop</t>
        </is>
      </c>
      <c r="J19" s="2" t="inlineStr">
        <is>
          <t>15 years local banking, Community development board member</t>
        </is>
      </c>
      <c r="K19" s="2" t="inlineStr">
        <is>
          <t>Facebook, LinkedIn</t>
        </is>
      </c>
      <c r="L19" s="2" t="inlineStr">
        <is>
          <t>3x/week</t>
        </is>
      </c>
      <c r="M19" s="2" t="inlineStr">
        <is>
          <t>Local business spotlights, grant info</t>
        </is>
      </c>
    </row>
    <row r="20">
      <c r="A20" s="2" t="inlineStr">
        <is>
          <t>Coaching</t>
        </is>
      </c>
      <c r="B20" s="2" t="inlineStr">
        <is>
          <t>Expert</t>
        </is>
      </c>
      <c r="C20" s="2" t="inlineStr">
        <is>
          <t>Dr. Simone Park</t>
        </is>
      </c>
      <c r="D20" s="2" t="inlineStr">
        <is>
          <t>Authoritative and insightful</t>
        </is>
      </c>
      <c r="E20" s="2" t="inlineStr">
        <is>
          <t>Executive coach with organizational psychology PhD, coached 200+ C-suite leaders.</t>
        </is>
      </c>
      <c r="F20" s="2" t="inlineStr">
        <is>
          <t>Executive presence, leadership development, organizational change, strategic thinking</t>
        </is>
      </c>
      <c r="G20" s="2" t="inlineStr">
        <is>
          <t>Research-backed frameworks for leadership transformation</t>
        </is>
      </c>
      <c r="H20" s="2" t="inlineStr">
        <is>
          <t>Leadership is not a title. It is a practice. | The data shows the path.</t>
        </is>
      </c>
      <c r="I20" s="2" t="inlineStr">
        <is>
          <t>Professional headshot, conference speaking</t>
        </is>
      </c>
      <c r="J20" s="2" t="inlineStr">
        <is>
          <t>PhD Org Psych, ICF Master Coach, 200+ C-suite clients</t>
        </is>
      </c>
      <c r="K20" s="2" t="inlineStr">
        <is>
          <t>LinkedIn, YouTube</t>
        </is>
      </c>
      <c r="L20" s="2" t="inlineStr">
        <is>
          <t>2x/week</t>
        </is>
      </c>
      <c r="M20" s="2" t="inlineStr">
        <is>
          <t>Leadership frameworks, case studies</t>
        </is>
      </c>
    </row>
    <row r="21">
      <c r="A21" s="2" t="inlineStr">
        <is>
          <t>Coaching</t>
        </is>
      </c>
      <c r="B21" s="2" t="inlineStr">
        <is>
          <t>Technician</t>
        </is>
      </c>
      <c r="C21" s="2" t="inlineStr">
        <is>
          <t>Hunter Mills</t>
        </is>
      </c>
      <c r="D21" s="2" t="inlineStr">
        <is>
          <t>Systematic and structured</t>
        </is>
      </c>
      <c r="E21" s="2" t="inlineStr">
        <is>
          <t>Performance coach who designs custom coaching programs and measurement systems.</t>
        </is>
      </c>
      <c r="F21" s="2" t="inlineStr">
        <is>
          <t>Goal setting, habit systems, performance metrics, accountability frameworks</t>
        </is>
      </c>
      <c r="G21" s="2" t="inlineStr">
        <is>
          <t>Structured programs with measurable milestones</t>
        </is>
      </c>
      <c r="H21" s="2" t="inlineStr">
        <is>
          <t>If you can not measure it, you can not improve it. | Systems beat willpower.</t>
        </is>
      </c>
      <c r="I21" s="2" t="inlineStr">
        <is>
          <t>Clean office with planning tools visible</t>
        </is>
      </c>
      <c r="J21" s="2" t="inlineStr">
        <is>
          <t>Certified Performance Coach, 500+ clients, Measurable results documented</t>
        </is>
      </c>
      <c r="K21" s="2" t="inlineStr">
        <is>
          <t>LinkedIn, YouTube</t>
        </is>
      </c>
      <c r="L21" s="2" t="inlineStr">
        <is>
          <t>2x/week</t>
        </is>
      </c>
      <c r="M21" s="2" t="inlineStr">
        <is>
          <t>System breakdowns, tool reviews</t>
        </is>
      </c>
    </row>
    <row r="22">
      <c r="A22" s="2" t="inlineStr">
        <is>
          <t>Coaching</t>
        </is>
      </c>
      <c r="B22" s="2" t="inlineStr">
        <is>
          <t>Advisor</t>
        </is>
      </c>
      <c r="C22" s="2" t="inlineStr">
        <is>
          <t>Stella Vance</t>
        </is>
      </c>
      <c r="D22" s="2" t="inlineStr">
        <is>
          <t>Empathetic and strategic</t>
        </is>
      </c>
      <c r="E22" s="2" t="inlineStr">
        <is>
          <t>Life coach helping professionals navigate career transitions and burnout.</t>
        </is>
      </c>
      <c r="F22" s="2" t="inlineStr">
        <is>
          <t>Career transitions, burnout recovery, work-life balance, purpose discovery</t>
        </is>
      </c>
      <c r="G22" s="2" t="inlineStr">
        <is>
          <t>Deep conversational content exploring client challenges</t>
        </is>
      </c>
      <c r="H22" s="2" t="inlineStr">
        <is>
          <t>You do not need to have it all figured out. | Clarity comes from conversation.</t>
        </is>
      </c>
      <c r="I22" s="2" t="inlineStr">
        <is>
          <t>Warm office, plants and books visible</t>
        </is>
      </c>
      <c r="J22" s="2" t="inlineStr">
        <is>
          <t>1,200+ clients coached, ICF PCC, Featured in Forbes</t>
        </is>
      </c>
      <c r="K22" s="2" t="inlineStr">
        <is>
          <t>Instagram, LinkedIn</t>
        </is>
      </c>
      <c r="L22" s="2" t="inlineStr">
        <is>
          <t>3x/week</t>
        </is>
      </c>
      <c r="M22" s="2" t="inlineStr">
        <is>
          <t>Client stories, reflection prompts</t>
        </is>
      </c>
    </row>
    <row r="23">
      <c r="A23" s="2" t="inlineStr">
        <is>
          <t>Coaching</t>
        </is>
      </c>
      <c r="B23" s="2" t="inlineStr">
        <is>
          <t>Educator</t>
        </is>
      </c>
      <c r="C23" s="2" t="inlineStr">
        <is>
          <t>Omar Rashid</t>
        </is>
      </c>
      <c r="D23" s="2" t="inlineStr">
        <is>
          <t>Accessible and motivating</t>
        </is>
      </c>
      <c r="E23" s="2" t="inlineStr">
        <is>
          <t>Business coach making entrepreneurship accessible to first-generation founders.</t>
        </is>
      </c>
      <c r="F23" s="2" t="inlineStr">
        <is>
          <t>Business planning, sales skills, marketing basics, mindset</t>
        </is>
      </c>
      <c r="G23" s="2" t="inlineStr">
        <is>
          <t>Simplified business concepts with actionable steps</t>
        </is>
      </c>
      <c r="H23" s="2" t="inlineStr">
        <is>
          <t>Every expert was once a beginner. | Start messy, refine as you go.</t>
        </is>
      </c>
      <c r="I23" s="2" t="inlineStr">
        <is>
          <t>Casual professional, startup environment</t>
        </is>
      </c>
      <c r="J23" s="2" t="inlineStr">
        <is>
          <t>500+ first-time founders coached, Accelerator mentor</t>
        </is>
      </c>
      <c r="K23" s="2" t="inlineStr">
        <is>
          <t>TikTok, YouTube</t>
        </is>
      </c>
      <c r="L23" s="2" t="inlineStr">
        <is>
          <t>5x/week</t>
        </is>
      </c>
      <c r="M23" s="2" t="inlineStr">
        <is>
          <t>Quick tips, founder stories</t>
        </is>
      </c>
    </row>
    <row r="24">
      <c r="A24" s="2" t="inlineStr">
        <is>
          <t>Coaching</t>
        </is>
      </c>
      <c r="B24" s="2" t="inlineStr">
        <is>
          <t>Storyteller</t>
        </is>
      </c>
      <c r="C24" s="2" t="inlineStr">
        <is>
          <t>Camille Foster</t>
        </is>
      </c>
      <c r="D24" s="2" t="inlineStr">
        <is>
          <t>Open and inspiring</t>
        </is>
      </c>
      <c r="E24" s="2" t="inlineStr">
        <is>
          <t>Left corporate to pursue coaching full-time after a life-changing health crisis.</t>
        </is>
      </c>
      <c r="F24" s="2" t="inlineStr">
        <is>
          <t>Career reinvention, resilience, purpose, health-to-success connection</t>
        </is>
      </c>
      <c r="G24" s="2" t="inlineStr">
        <is>
          <t>Deeply personal narratives with universal takeaways</t>
        </is>
      </c>
      <c r="H24" s="2" t="inlineStr">
        <is>
          <t>My worst year became my best decision. | Your breakdown can be your breakthrough.</t>
        </is>
      </c>
      <c r="I24" s="2" t="inlineStr">
        <is>
          <t>Natural light, authentic casual setting</t>
        </is>
      </c>
      <c r="J24" s="2" t="inlineStr">
        <is>
          <t>Corporate exit story documented, 25k community, TEDx speaker</t>
        </is>
      </c>
      <c r="K24" s="2" t="inlineStr">
        <is>
          <t>Instagram, TikTok</t>
        </is>
      </c>
      <c r="L24" s="2" t="inlineStr">
        <is>
          <t>Daily</t>
        </is>
      </c>
      <c r="M24" s="2" t="inlineStr">
        <is>
          <t>Personal narrative, daily inspiration</t>
        </is>
      </c>
    </row>
    <row r="25">
      <c r="A25" s="2" t="inlineStr">
        <is>
          <t>Coaching</t>
        </is>
      </c>
      <c r="B25" s="2" t="inlineStr">
        <is>
          <t>Local-Authority</t>
        </is>
      </c>
      <c r="C25" s="2" t="inlineStr">
        <is>
          <t>Marcus Bell</t>
        </is>
      </c>
      <c r="D25" s="2" t="inlineStr">
        <is>
          <t>Grounded and connected</t>
        </is>
      </c>
      <c r="E25" s="2" t="inlineStr">
        <is>
          <t>Community business mentor running local masterminds and networking events.</t>
        </is>
      </c>
      <c r="F25" s="2" t="inlineStr">
        <is>
          <t>Local networking, small business growth, community building, mentorship</t>
        </is>
      </c>
      <c r="G25" s="2" t="inlineStr">
        <is>
          <t>Community-focused content with local business features</t>
        </is>
      </c>
      <c r="H25" s="2" t="inlineStr">
        <is>
          <t>Your network is your net worth — especially locally. | Build together, grow together.</t>
        </is>
      </c>
      <c r="I25" s="2" t="inlineStr">
        <is>
          <t>Local event setting, group photos</t>
        </is>
      </c>
      <c r="J25" s="2" t="inlineStr">
        <is>
          <t>10 years local mentoring, 200+ businesses connected, Chamber member</t>
        </is>
      </c>
      <c r="K25" s="2" t="inlineStr">
        <is>
          <t>Facebook, LinkedIn</t>
        </is>
      </c>
      <c r="L25" s="2" t="inlineStr">
        <is>
          <t>3x/week</t>
        </is>
      </c>
      <c r="M25" s="2" t="inlineStr">
        <is>
          <t>Local event coverage, business spotlights</t>
        </is>
      </c>
    </row>
    <row r="26">
      <c r="A26" s="2" t="inlineStr">
        <is>
          <t>Health</t>
        </is>
      </c>
      <c r="B26" s="2" t="inlineStr">
        <is>
          <t>Expert</t>
        </is>
      </c>
      <c r="C26" s="2" t="inlineStr">
        <is>
          <t>Dr. Alicia Howe</t>
        </is>
      </c>
      <c r="D26" s="2" t="inlineStr">
        <is>
          <t>Clinical and reassuring</t>
        </is>
      </c>
      <c r="E26" s="2" t="inlineStr">
        <is>
          <t>Board-certified internist with 18 years of patient-centered practice.</t>
        </is>
      </c>
      <c r="F26" s="2" t="inlineStr">
        <is>
          <t>Preventive care, chronic disease management, women's health, diagnostics</t>
        </is>
      </c>
      <c r="G26" s="2" t="inlineStr">
        <is>
          <t>Evidence-based health insights with clear next steps</t>
        </is>
      </c>
      <c r="H26" s="2" t="inlineStr">
        <is>
          <t>Prevention is the best medicine. | Trust the evidence, not the trend.</t>
        </is>
      </c>
      <c r="I26" s="2" t="inlineStr">
        <is>
          <t>White coat, clinical setting</t>
        </is>
      </c>
      <c r="J26" s="2" t="inlineStr">
        <is>
          <t>Board-certified, 18 years practice, Published researcher</t>
        </is>
      </c>
      <c r="K26" s="2" t="inlineStr">
        <is>
          <t>LinkedIn, YouTube</t>
        </is>
      </c>
      <c r="L26" s="2" t="inlineStr">
        <is>
          <t>2x/week</t>
        </is>
      </c>
      <c r="M26" s="2" t="inlineStr">
        <is>
          <t>Health insights, myth-debunking</t>
        </is>
      </c>
    </row>
    <row r="27">
      <c r="A27" s="2" t="inlineStr">
        <is>
          <t>Health</t>
        </is>
      </c>
      <c r="B27" s="2" t="inlineStr">
        <is>
          <t>Technician</t>
        </is>
      </c>
      <c r="C27" s="2" t="inlineStr">
        <is>
          <t>Tyler Marsh</t>
        </is>
      </c>
      <c r="D27" s="2" t="inlineStr">
        <is>
          <t>Precise and thorough</t>
        </is>
      </c>
      <c r="E27" s="2" t="inlineStr">
        <is>
          <t>Physical therapist specializing in movement analysis and rehabilitation protocols.</t>
        </is>
      </c>
      <c r="F27" s="2" t="inlineStr">
        <is>
          <t>Rehabilitation, movement screening, sports recovery, ergonomics</t>
        </is>
      </c>
      <c r="G27" s="2" t="inlineStr">
        <is>
          <t>Exercise demonstrations with anatomical explanations</t>
        </is>
      </c>
      <c r="H27" s="2" t="inlineStr">
        <is>
          <t>Your body is a system. Fix the root, not the symptom. | Movement is medicine.</t>
        </is>
      </c>
      <c r="I27" s="2" t="inlineStr">
        <is>
          <t>Clinic/gym setting with equipment</t>
        </is>
      </c>
      <c r="J27" s="2" t="inlineStr">
        <is>
          <t>DPT, 10 years sports rehab, Worked with Olympic athletes</t>
        </is>
      </c>
      <c r="K27" s="2" t="inlineStr">
        <is>
          <t>YouTube, Instagram</t>
        </is>
      </c>
      <c r="L27" s="2" t="inlineStr">
        <is>
          <t>3x/week</t>
        </is>
      </c>
      <c r="M27" s="2" t="inlineStr">
        <is>
          <t>Exercise demos, anatomy education</t>
        </is>
      </c>
    </row>
    <row r="28">
      <c r="A28" s="2" t="inlineStr">
        <is>
          <t>Health</t>
        </is>
      </c>
      <c r="B28" s="2" t="inlineStr">
        <is>
          <t>Advisor</t>
        </is>
      </c>
      <c r="C28" s="2" t="inlineStr">
        <is>
          <t>Grace Li</t>
        </is>
      </c>
      <c r="D28" s="2" t="inlineStr">
        <is>
          <t>Nurturing and holistic</t>
        </is>
      </c>
      <c r="E28" s="2" t="inlineStr">
        <is>
          <t>Integrative health practitioner combining Eastern and Western medicine.</t>
        </is>
      </c>
      <c r="F28" s="2" t="inlineStr">
        <is>
          <t>Integrative medicine, stress management, nutrition, sleep optimization</t>
        </is>
      </c>
      <c r="G28" s="2" t="inlineStr">
        <is>
          <t>Holistic wellness plans with gentle guidance</t>
        </is>
      </c>
      <c r="H28" s="2" t="inlineStr">
        <is>
          <t>Healing is a journey, not a destination. | Listen to your body.</t>
        </is>
      </c>
      <c r="I28" s="2" t="inlineStr">
        <is>
          <t>Serene wellness studio</t>
        </is>
      </c>
      <c r="J28" s="2" t="inlineStr">
        <is>
          <t>L.Ac, 2,000+ patients, Integrative health certified</t>
        </is>
      </c>
      <c r="K28" s="2" t="inlineStr">
        <is>
          <t>Instagram, Facebook</t>
        </is>
      </c>
      <c r="L28" s="2" t="inlineStr">
        <is>
          <t>4x/week</t>
        </is>
      </c>
      <c r="M28" s="2" t="inlineStr">
        <is>
          <t>Wellness tips, patient stories</t>
        </is>
      </c>
    </row>
    <row r="29">
      <c r="A29" s="2" t="inlineStr">
        <is>
          <t>Health</t>
        </is>
      </c>
      <c r="B29" s="2" t="inlineStr">
        <is>
          <t>Educator</t>
        </is>
      </c>
      <c r="C29" s="2" t="inlineStr">
        <is>
          <t>Felix Odom</t>
        </is>
      </c>
      <c r="D29" s="2" t="inlineStr">
        <is>
          <t>Enthusiastic and clear</t>
        </is>
      </c>
      <c r="E29" s="2" t="inlineStr">
        <is>
          <t>Public health educator making complex health topics accessible.</t>
        </is>
      </c>
      <c r="F29" s="2" t="inlineStr">
        <is>
          <t>Health literacy, disease prevention, nutrition, mental wellness</t>
        </is>
      </c>
      <c r="G29" s="2" t="inlineStr">
        <is>
          <t>Infographic-driven content with simple explanations</t>
        </is>
      </c>
      <c r="H29" s="2" t="inlineStr">
        <is>
          <t>Health should not be confusing. | Knowledge is your first prescription.</t>
        </is>
      </c>
      <c r="I29" s="2" t="inlineStr">
        <is>
          <t>Bright setting with visual aids</t>
        </is>
      </c>
      <c r="J29" s="2" t="inlineStr">
        <is>
          <t>MPH, Health educator 12 years, 80k social following</t>
        </is>
      </c>
      <c r="K29" s="2" t="inlineStr">
        <is>
          <t>TikTok, YouTube</t>
        </is>
      </c>
      <c r="L29" s="2" t="inlineStr">
        <is>
          <t>5x/week</t>
        </is>
      </c>
      <c r="M29" s="2" t="inlineStr">
        <is>
          <t>Quick health tips, myth-busting</t>
        </is>
      </c>
    </row>
    <row r="30">
      <c r="A30" s="2" t="inlineStr">
        <is>
          <t>Health</t>
        </is>
      </c>
      <c r="B30" s="2" t="inlineStr">
        <is>
          <t>Storyteller</t>
        </is>
      </c>
      <c r="C30" s="2" t="inlineStr">
        <is>
          <t>Natalie Reyes</t>
        </is>
      </c>
      <c r="D30" s="2" t="inlineStr">
        <is>
          <t>Compassionate and honest</t>
        </is>
      </c>
      <c r="E30" s="2" t="inlineStr">
        <is>
          <t>Chronic illness warrior sharing her health journey to help others cope.</t>
        </is>
      </c>
      <c r="F30" s="2" t="inlineStr">
        <is>
          <t>Chronic illness management, mental health, patient advocacy, self-care</t>
        </is>
      </c>
      <c r="G30" s="2" t="inlineStr">
        <is>
          <t>Raw personal health stories with coping strategies</t>
        </is>
      </c>
      <c r="H30" s="2" t="inlineStr">
        <is>
          <t>I did not choose this path, but I am walking it with purpose. | You are not alone.</t>
        </is>
      </c>
      <c r="I30" s="2" t="inlineStr">
        <is>
          <t>Home/hospital candid shots</t>
        </is>
      </c>
      <c r="J30" s="2" t="inlineStr">
        <is>
          <t>Personal health journey documented, 40k community, Patient advocate</t>
        </is>
      </c>
      <c r="K30" s="2" t="inlineStr">
        <is>
          <t>Instagram, TikTok</t>
        </is>
      </c>
      <c r="L30" s="2" t="inlineStr">
        <is>
          <t>Daily</t>
        </is>
      </c>
      <c r="M30" s="2" t="inlineStr">
        <is>
          <t>Health journey, daily coping tips</t>
        </is>
      </c>
    </row>
    <row r="31">
      <c r="A31" s="2" t="inlineStr">
        <is>
          <t>Health</t>
        </is>
      </c>
      <c r="B31" s="2" t="inlineStr">
        <is>
          <t>Local-Authority</t>
        </is>
      </c>
      <c r="C31" s="2" t="inlineStr">
        <is>
          <t>Sandra West</t>
        </is>
      </c>
      <c r="D31" s="2" t="inlineStr">
        <is>
          <t>Warm and community-rooted</t>
        </is>
      </c>
      <c r="E31" s="2" t="inlineStr">
        <is>
          <t>Family nurse practitioner serving the same community for 20 years.</t>
        </is>
      </c>
      <c r="F31" s="2" t="inlineStr">
        <is>
          <t>Family health, pediatric care, geriatric care, community health</t>
        </is>
      </c>
      <c r="G31" s="2" t="inlineStr">
        <is>
          <t>Hyperlocal health tips and community wellness initiatives</t>
        </is>
      </c>
      <c r="H31" s="2" t="inlineStr">
        <is>
          <t>I have watched this community grow. I am here to keep it healthy. | Your family, my priority.</t>
        </is>
      </c>
      <c r="I31" s="2" t="inlineStr">
        <is>
          <t>Community clinic setting</t>
        </is>
      </c>
      <c r="J31" s="2" t="inlineStr">
        <is>
          <t>20 years same community, 5,000+ families served, Community health board</t>
        </is>
      </c>
      <c r="K31" s="2" t="inlineStr">
        <is>
          <t>Facebook, Instagram</t>
        </is>
      </c>
      <c r="L31" s="2" t="inlineStr">
        <is>
          <t>3x/week</t>
        </is>
      </c>
      <c r="M31" s="2" t="inlineStr">
        <is>
          <t>Community health tips, local events</t>
        </is>
      </c>
    </row>
    <row r="32">
      <c r="A32" s="2" t="inlineStr">
        <is>
          <t>E-commerce</t>
        </is>
      </c>
      <c r="B32" s="2" t="inlineStr">
        <is>
          <t>Expert</t>
        </is>
      </c>
      <c r="C32" s="2" t="inlineStr">
        <is>
          <t>Ryan Zhao</t>
        </is>
      </c>
      <c r="D32" s="2" t="inlineStr">
        <is>
          <t>Sharp and data-driven</t>
        </is>
      </c>
      <c r="E32" s="2" t="inlineStr">
        <is>
          <t>Scaled 3 DTC brands to 8 figures using performance marketing and analytics.</t>
        </is>
      </c>
      <c r="F32" s="2" t="inlineStr">
        <is>
          <t>Performance marketing, conversion optimization, analytics, scaling strategy</t>
        </is>
      </c>
      <c r="G32" s="2" t="inlineStr">
        <is>
          <t>Data-backed case studies with actionable insights</t>
        </is>
      </c>
      <c r="H32" s="2" t="inlineStr">
        <is>
          <t>The numbers tell the story. | Scale what works, kill what does not.</t>
        </is>
      </c>
      <c r="I32" s="2" t="inlineStr">
        <is>
          <t>Modern office with dashboards visible</t>
        </is>
      </c>
      <c r="J32" s="2" t="inlineStr">
        <is>
          <t>3 8-figure brands, $50M+ in e-com revenue, Shopify Plus expert</t>
        </is>
      </c>
      <c r="K32" s="2" t="inlineStr">
        <is>
          <t>LinkedIn, YouTube</t>
        </is>
      </c>
      <c r="L32" s="2" t="inlineStr">
        <is>
          <t>2x/week</t>
        </is>
      </c>
      <c r="M32" s="2" t="inlineStr">
        <is>
          <t>Case studies, data analysis</t>
        </is>
      </c>
    </row>
    <row r="33">
      <c r="A33" s="2" t="inlineStr">
        <is>
          <t>E-commerce</t>
        </is>
      </c>
      <c r="B33" s="2" t="inlineStr">
        <is>
          <t>Technician</t>
        </is>
      </c>
      <c r="C33" s="2" t="inlineStr">
        <is>
          <t>Kira Stone</t>
        </is>
      </c>
      <c r="D33" s="2" t="inlineStr">
        <is>
          <t>Detail-oriented and tactical</t>
        </is>
      </c>
      <c r="E33" s="2" t="inlineStr">
        <is>
          <t>Shopify developer specializing in conversion optimization and store architecture.</t>
        </is>
      </c>
      <c r="F33" s="2" t="inlineStr">
        <is>
          <t>Store optimization, page speed, A/B testing, technical SEO, checkout UX</t>
        </is>
      </c>
      <c r="G33" s="2" t="inlineStr">
        <is>
          <t>Technical tutorials with before/after screenshots</t>
        </is>
      </c>
      <c r="H33" s="2" t="inlineStr">
        <is>
          <t>Speed sells. Every millisecond matters. | The devil is in the details.</t>
        </is>
      </c>
      <c r="I33" s="2" t="inlineStr">
        <is>
          <t>Dual-monitor dev setup</t>
        </is>
      </c>
      <c r="J33" s="2" t="inlineStr">
        <is>
          <t>200+ stores optimized, Shopify Expert, Sub-1s load times achieved</t>
        </is>
      </c>
      <c r="K33" s="2" t="inlineStr">
        <is>
          <t>YouTube, Twitter/X</t>
        </is>
      </c>
      <c r="L33" s="2" t="inlineStr">
        <is>
          <t>3x/week</t>
        </is>
      </c>
      <c r="M33" s="2" t="inlineStr">
        <is>
          <t>Technical tutorials, optimization guides</t>
        </is>
      </c>
    </row>
    <row r="34">
      <c r="A34" s="2" t="inlineStr">
        <is>
          <t>E-commerce</t>
        </is>
      </c>
      <c r="B34" s="2" t="inlineStr">
        <is>
          <t>Advisor</t>
        </is>
      </c>
      <c r="C34" s="2" t="inlineStr">
        <is>
          <t>Jade Monroe</t>
        </is>
      </c>
      <c r="D34" s="2" t="inlineStr">
        <is>
          <t>Strategic and supportive</t>
        </is>
      </c>
      <c r="E34" s="2" t="inlineStr">
        <is>
          <t>E-commerce consultant helping brands find product-market fit and scale.</t>
        </is>
      </c>
      <c r="F34" s="2" t="inlineStr">
        <is>
          <t>Brand strategy, product selection, customer research, positioning</t>
        </is>
      </c>
      <c r="G34" s="2" t="inlineStr">
        <is>
          <t>Strategic frameworks with implementation guidance</t>
        </is>
      </c>
      <c r="H34" s="2" t="inlineStr">
        <is>
          <t>Sell the outcome, not the product. | Strategy first, tactics second.</t>
        </is>
      </c>
      <c r="I34" s="2" t="inlineStr">
        <is>
          <t>Bright workspace with product samples</t>
        </is>
      </c>
      <c r="J34" s="2" t="inlineStr">
        <is>
          <t>150+ brands consulted, $25M+ in client revenue, Forbes 30 Under 30 nominee</t>
        </is>
      </c>
      <c r="K34" s="2" t="inlineStr">
        <is>
          <t>Instagram, LinkedIn</t>
        </is>
      </c>
      <c r="L34" s="2" t="inlineStr">
        <is>
          <t>3x/week</t>
        </is>
      </c>
      <c r="M34" s="2" t="inlineStr">
        <is>
          <t>Strategy breakdowns, brand spotlights</t>
        </is>
      </c>
    </row>
    <row r="35">
      <c r="A35" s="2" t="inlineStr">
        <is>
          <t>E-commerce</t>
        </is>
      </c>
      <c r="B35" s="2" t="inlineStr">
        <is>
          <t>Educator</t>
        </is>
      </c>
      <c r="C35" s="2" t="inlineStr">
        <is>
          <t>Carlos Diaz</t>
        </is>
      </c>
      <c r="D35" s="2" t="inlineStr">
        <is>
          <t>Accessible and practical</t>
        </is>
      </c>
      <c r="E35" s="2" t="inlineStr">
        <is>
          <t>E-commerce educator teaching beginners to launch and grow online stores.</t>
        </is>
      </c>
      <c r="F35" s="2" t="inlineStr">
        <is>
          <t>Store setup, product sourcing, basic marketing, customer service</t>
        </is>
      </c>
      <c r="G35" s="2" t="inlineStr">
        <is>
          <t>Step-by-step launch guides for beginners</t>
        </is>
      </c>
      <c r="H35" s="2" t="inlineStr">
        <is>
          <t>Everyone starts at zero. | Simple works better than complicated.</t>
        </is>
      </c>
      <c r="I35" s="2" t="inlineStr">
        <is>
          <t>Casual setting with product boxes</t>
        </is>
      </c>
      <c r="J35" s="2" t="inlineStr">
        <is>
          <t>10k+ students, Bestselling Udemy course, 95% completion rate</t>
        </is>
      </c>
      <c r="K35" s="2" t="inlineStr">
        <is>
          <t>YouTube, TikTok</t>
        </is>
      </c>
      <c r="L35" s="2" t="inlineStr">
        <is>
          <t>5x/week</t>
        </is>
      </c>
      <c r="M35" s="2" t="inlineStr">
        <is>
          <t>Launch tutorials, beginner guides</t>
        </is>
      </c>
    </row>
    <row r="36">
      <c r="A36" s="2" t="inlineStr">
        <is>
          <t>E-commerce</t>
        </is>
      </c>
      <c r="B36" s="2" t="inlineStr">
        <is>
          <t>Storyteller</t>
        </is>
      </c>
      <c r="C36" s="2" t="inlineStr">
        <is>
          <t>Mia Walsh</t>
        </is>
      </c>
      <c r="D36" s="2" t="inlineStr">
        <is>
          <t>Authentic and scrappy</t>
        </is>
      </c>
      <c r="E36" s="2" t="inlineStr">
        <is>
          <t>Built a 7-figure e-com brand from a kitchen table with $500.</t>
        </is>
      </c>
      <c r="F36" s="2" t="inlineStr">
        <is>
          <t>Bootstrapping, brand storytelling, customer connection, scrappy marketing</t>
        </is>
      </c>
      <c r="G36" s="2" t="inlineStr">
        <is>
          <t>Behind-the-scenes brand journey content</t>
        </is>
      </c>
      <c r="H36" s="2" t="inlineStr">
        <is>
          <t>I started with $500 and a dream. | Your brand story is your superpower.</t>
        </is>
      </c>
      <c r="I36" s="2" t="inlineStr">
        <is>
          <t>Kitchen table to warehouse journey photos</t>
        </is>
      </c>
      <c r="J36" s="2" t="inlineStr">
        <is>
          <t>Documented $500 to $1M journey, 100k community, Podcast host</t>
        </is>
      </c>
      <c r="K36" s="2" t="inlineStr">
        <is>
          <t>TikTok, Instagram</t>
        </is>
      </c>
      <c r="L36" s="2" t="inlineStr">
        <is>
          <t>Daily</t>
        </is>
      </c>
      <c r="M36" s="2" t="inlineStr">
        <is>
          <t>Brand journey, behind-the-scenes</t>
        </is>
      </c>
    </row>
    <row r="37">
      <c r="A37" s="2" t="inlineStr">
        <is>
          <t>E-commerce</t>
        </is>
      </c>
      <c r="B37" s="2" t="inlineStr">
        <is>
          <t>Local-Authority</t>
        </is>
      </c>
      <c r="C37" s="2" t="inlineStr">
        <is>
          <t>Hank Morrison</t>
        </is>
      </c>
      <c r="D37" s="2" t="inlineStr">
        <is>
          <t>Pragmatic and community-focused</t>
        </is>
      </c>
      <c r="E37" s="2" t="inlineStr">
        <is>
          <t>Runs a local DTC brand and teaches local makers to sell online.</t>
        </is>
      </c>
      <c r="F37" s="2" t="inlineStr">
        <is>
          <t>Local-to-online transition, handmade product marketing, local SEO, pop-ups</t>
        </is>
      </c>
      <c r="G37" s="2" t="inlineStr">
        <is>
          <t>Local maker success stories and sell-online guides</t>
        </is>
      </c>
      <c r="H37" s="2" t="inlineStr">
        <is>
          <t>Your community is your first customer base. | Local roots, global reach.</t>
        </is>
      </c>
      <c r="I37" s="2" t="inlineStr">
        <is>
          <t>Local market/workshop setting</t>
        </is>
      </c>
      <c r="J37" s="2" t="inlineStr">
        <is>
          <t>Local brand owner 6 years, 50+ local makers mentored, Farmers market fixture</t>
        </is>
      </c>
      <c r="K37" s="2" t="inlineStr">
        <is>
          <t>Facebook, Instagram</t>
        </is>
      </c>
      <c r="L37" s="2" t="inlineStr">
        <is>
          <t>3x/week</t>
        </is>
      </c>
      <c r="M37" s="2" t="inlineStr">
        <is>
          <t>Local maker features, online selling tips</t>
        </is>
      </c>
    </row>
    <row r="38">
      <c r="A38" s="2" t="inlineStr">
        <is>
          <t>SaaS</t>
        </is>
      </c>
      <c r="B38" s="2" t="inlineStr">
        <is>
          <t>Expert</t>
        </is>
      </c>
      <c r="C38" s="2" t="inlineStr">
        <is>
          <t>Elena Marsh</t>
        </is>
      </c>
      <c r="D38" s="2" t="inlineStr">
        <is>
          <t>Strategic and analytical</t>
        </is>
      </c>
      <c r="E38" s="2" t="inlineStr">
        <is>
          <t>VP Product at two unicorn startups. Now advises SaaS founders on growth.</t>
        </is>
      </c>
      <c r="F38" s="2" t="inlineStr">
        <is>
          <t>Product strategy, growth metrics, pricing, competitive positioning</t>
        </is>
      </c>
      <c r="G38" s="2" t="inlineStr">
        <is>
          <t>Strategic frameworks backed by real SaaS data</t>
        </is>
      </c>
      <c r="H38" s="2" t="inlineStr">
        <is>
          <t>Product-market fit is not a moment. It is a process. | Data beats opinions.</t>
        </is>
      </c>
      <c r="I38" s="2" t="inlineStr">
        <is>
          <t>Conference stage or boardroom setting</t>
        </is>
      </c>
      <c r="J38" s="2" t="inlineStr">
        <is>
          <t>2 unicorn exits, $100M+ ARR influenced, SaaS advisor to 50+ companies</t>
        </is>
      </c>
      <c r="K38" s="2" t="inlineStr">
        <is>
          <t>LinkedIn, Twitter/X</t>
        </is>
      </c>
      <c r="L38" s="2" t="inlineStr">
        <is>
          <t>2x/week</t>
        </is>
      </c>
      <c r="M38" s="2" t="inlineStr">
        <is>
          <t>Growth analysis, strategy frameworks</t>
        </is>
      </c>
    </row>
    <row r="39">
      <c r="A39" s="2" t="inlineStr">
        <is>
          <t>SaaS</t>
        </is>
      </c>
      <c r="B39" s="2" t="inlineStr">
        <is>
          <t>Technician</t>
        </is>
      </c>
      <c r="C39" s="2" t="inlineStr">
        <is>
          <t>Sanjay Patel</t>
        </is>
      </c>
      <c r="D39" s="2" t="inlineStr">
        <is>
          <t>Methodical and code-savvy</t>
        </is>
      </c>
      <c r="E39" s="2" t="inlineStr">
        <is>
          <t>Full-stack developer turned SaaS architect specializing in scalable systems.</t>
        </is>
      </c>
      <c r="F39" s="2" t="inlineStr">
        <is>
          <t>System architecture, API design, infrastructure, performance</t>
        </is>
      </c>
      <c r="G39" s="2" t="inlineStr">
        <is>
          <t>Technical deep-dives with architecture diagrams</t>
        </is>
      </c>
      <c r="H39" s="2" t="inlineStr">
        <is>
          <t>Scalability is a design choice, not an afterthought. | Ship fast, architect smart.</t>
        </is>
      </c>
      <c r="I39" s="2" t="inlineStr">
        <is>
          <t>Dev environment with architecture whiteboards</t>
        </is>
      </c>
      <c r="J39" s="2" t="inlineStr">
        <is>
          <t>Built 5 SaaS products, 1M+ users served, AWS certified</t>
        </is>
      </c>
      <c r="K39" s="2" t="inlineStr">
        <is>
          <t>YouTube, Twitter/X</t>
        </is>
      </c>
      <c r="L39" s="2" t="inlineStr">
        <is>
          <t>2x/week</t>
        </is>
      </c>
      <c r="M39" s="2" t="inlineStr">
        <is>
          <t>Architecture guides, code walkthroughs</t>
        </is>
      </c>
    </row>
    <row r="40">
      <c r="A40" s="2" t="inlineStr">
        <is>
          <t>SaaS</t>
        </is>
      </c>
      <c r="B40" s="2" t="inlineStr">
        <is>
          <t>Advisor</t>
        </is>
      </c>
      <c r="C40" s="2" t="inlineStr">
        <is>
          <t>Claire Donovan</t>
        </is>
      </c>
      <c r="D40" s="2" t="inlineStr">
        <is>
          <t>Consultative and results-focused</t>
        </is>
      </c>
      <c r="E40" s="2" t="inlineStr">
        <is>
          <t>SaaS growth advisor helping B2B companies reduce churn and increase LTV.</t>
        </is>
      </c>
      <c r="F40" s="2" t="inlineStr">
        <is>
          <t>Customer success, churn reduction, expansion revenue, NPS optimization</t>
        </is>
      </c>
      <c r="G40" s="2" t="inlineStr">
        <is>
          <t>Customer success strategies with playbook templates</t>
        </is>
      </c>
      <c r="H40" s="2" t="inlineStr">
        <is>
          <t>Retention is the new acquisition. | Happy customers are your best growth engine.</t>
        </is>
      </c>
      <c r="I40" s="2" t="inlineStr">
        <is>
          <t>Modern office with customer dashboards</t>
        </is>
      </c>
      <c r="J40" s="2" t="inlineStr">
        <is>
          <t>Reduced churn 40%+ for 30 companies, Customer success certified</t>
        </is>
      </c>
      <c r="K40" s="2" t="inlineStr">
        <is>
          <t>LinkedIn, YouTube</t>
        </is>
      </c>
      <c r="L40" s="2" t="inlineStr">
        <is>
          <t>3x/week</t>
        </is>
      </c>
      <c r="M40" s="2" t="inlineStr">
        <is>
          <t>Churn analysis, CS playbooks</t>
        </is>
      </c>
    </row>
    <row r="41">
      <c r="A41" s="2" t="inlineStr">
        <is>
          <t>SaaS</t>
        </is>
      </c>
      <c r="B41" s="2" t="inlineStr">
        <is>
          <t>Educator</t>
        </is>
      </c>
      <c r="C41" s="2" t="inlineStr">
        <is>
          <t>Derek Lim</t>
        </is>
      </c>
      <c r="D41" s="2" t="inlineStr">
        <is>
          <t>Energetic and accessible</t>
        </is>
      </c>
      <c r="E41" s="2" t="inlineStr">
        <is>
          <t>SaaS educator making complex topics simple for first-time founders.</t>
        </is>
      </c>
      <c r="F41" s="2" t="inlineStr">
        <is>
          <t>SaaS basics, MVP development, pricing, first 100 customers</t>
        </is>
      </c>
      <c r="G41" s="2" t="inlineStr">
        <is>
          <t>Beginner-friendly tutorials with step-by-step guides</t>
        </is>
      </c>
      <c r="H41" s="2" t="inlineStr">
        <is>
          <t>Your MVP does not need to be perfect. It needs to be real. | Build, measure, learn.</t>
        </is>
      </c>
      <c r="I41" s="2" t="inlineStr">
        <is>
          <t>Casual startup setting, whiteboard</t>
        </is>
      </c>
      <c r="J41" s="2" t="inlineStr">
        <is>
          <t>1,000+ founders taught, Accelerator mentor, Popular SaaS newsletter</t>
        </is>
      </c>
      <c r="K41" s="2" t="inlineStr">
        <is>
          <t>YouTube, TikTok</t>
        </is>
      </c>
      <c r="L41" s="2" t="inlineStr">
        <is>
          <t>5x/week</t>
        </is>
      </c>
      <c r="M41" s="2" t="inlineStr">
        <is>
          <t>Quick SaaS tips, founder tutorials</t>
        </is>
      </c>
    </row>
    <row r="42">
      <c r="A42" s="2" t="inlineStr">
        <is>
          <t>SaaS</t>
        </is>
      </c>
      <c r="B42" s="2" t="inlineStr">
        <is>
          <t>Storyteller</t>
        </is>
      </c>
      <c r="C42" s="2" t="inlineStr">
        <is>
          <t>Keisha Roberts</t>
        </is>
      </c>
      <c r="D42" s="2" t="inlineStr">
        <is>
          <t>Honest and inspiring</t>
        </is>
      </c>
      <c r="E42" s="2" t="inlineStr">
        <is>
          <t>Built and sold a SaaS company, documenting every win and failure publicly.</t>
        </is>
      </c>
      <c r="F42" s="2" t="inlineStr">
        <is>
          <t>Founder journey, fundraising, team building, pivot stories</t>
        </is>
      </c>
      <c r="G42" s="2" t="inlineStr">
        <is>
          <t>Transparent founder narratives with real metrics</t>
        </is>
      </c>
      <c r="H42" s="2" t="inlineStr">
        <is>
          <t>I failed publicly so you could learn privately. | The journey IS the product.</t>
        </is>
      </c>
      <c r="I42" s="2" t="inlineStr">
        <is>
          <t>Home office / co-working candid shots</t>
        </is>
      </c>
      <c r="J42" s="2" t="inlineStr">
        <is>
          <t>Built and exited SaaS company, 75k newsletter, Featured in TechCrunch</t>
        </is>
      </c>
      <c r="K42" s="2" t="inlineStr">
        <is>
          <t>Twitter/X, LinkedIn</t>
        </is>
      </c>
      <c r="L42" s="2" t="inlineStr">
        <is>
          <t>Daily</t>
        </is>
      </c>
      <c r="M42" s="2" t="inlineStr">
        <is>
          <t>Founder journey, real metrics</t>
        </is>
      </c>
    </row>
    <row r="43">
      <c r="A43" s="2" t="inlineStr">
        <is>
          <t>SaaS</t>
        </is>
      </c>
      <c r="B43" s="2" t="inlineStr">
        <is>
          <t>Local-Authority</t>
        </is>
      </c>
      <c r="C43" s="2" t="inlineStr">
        <is>
          <t>Tobias Green</t>
        </is>
      </c>
      <c r="D43" s="2" t="inlineStr">
        <is>
          <t>Grassroots and helpful</t>
        </is>
      </c>
      <c r="E43" s="2" t="inlineStr">
        <is>
          <t>Runs a local SaaS meetup and helps early-stage founders in the community.</t>
        </is>
      </c>
      <c r="F43" s="2" t="inlineStr">
        <is>
          <t>Local startup ecosystem, fundraising, networking, co-working culture</t>
        </is>
      </c>
      <c r="G43" s="2" t="inlineStr">
        <is>
          <t>Local startup scene coverage and founder spotlights</t>
        </is>
      </c>
      <c r="H43" s="2" t="inlineStr">
        <is>
          <t>The best startup advice comes from your local ecosystem. | Build with your community.</t>
        </is>
      </c>
      <c r="I43" s="2" t="inlineStr">
        <is>
          <t>Local meetup/co-working setting</t>
        </is>
      </c>
      <c r="J43" s="2" t="inlineStr">
        <is>
          <t>5 years running local SaaS meetup, 200+ founders connected, Angel investor</t>
        </is>
      </c>
      <c r="K43" s="2" t="inlineStr">
        <is>
          <t>Facebook, LinkedIn</t>
        </is>
      </c>
      <c r="L43" s="2" t="inlineStr">
        <is>
          <t>3x/week</t>
        </is>
      </c>
      <c r="M43" s="2" t="inlineStr">
        <is>
          <t>Local founder features, meetup recaps</t>
        </is>
      </c>
    </row>
    <row r="44">
      <c r="A44" s="2" t="inlineStr">
        <is>
          <t>Legal</t>
        </is>
      </c>
      <c r="B44" s="2" t="inlineStr">
        <is>
          <t>Expert</t>
        </is>
      </c>
      <c r="C44" s="2" t="inlineStr">
        <is>
          <t>Diane Forte</t>
        </is>
      </c>
      <c r="D44" s="2" t="inlineStr">
        <is>
          <t>Commanding and precise</t>
        </is>
      </c>
      <c r="E44" s="2" t="inlineStr">
        <is>
          <t>Former federal prosecutor turned legal strategy consultant.</t>
        </is>
      </c>
      <c r="F44" s="2" t="inlineStr">
        <is>
          <t>Litigation strategy, regulatory compliance, corporate law, risk management</t>
        </is>
      </c>
      <c r="G44" s="2" t="inlineStr">
        <is>
          <t>Authoritative legal analysis with practical implications</t>
        </is>
      </c>
      <c r="H44" s="2" t="inlineStr">
        <is>
          <t>The law rewards preparation. | Precedent is not a suggestion.</t>
        </is>
      </c>
      <c r="I44" s="2" t="inlineStr">
        <is>
          <t>Courtroom or law office setting</t>
        </is>
      </c>
      <c r="J44" s="2" t="inlineStr">
        <is>
          <t>20 years federal experience, 500+ cases, Published legal author</t>
        </is>
      </c>
      <c r="K44" s="2" t="inlineStr">
        <is>
          <t>LinkedIn, YouTube</t>
        </is>
      </c>
      <c r="L44" s="2" t="inlineStr">
        <is>
          <t>2x/week</t>
        </is>
      </c>
      <c r="M44" s="2" t="inlineStr">
        <is>
          <t>Legal analysis, compliance guides</t>
        </is>
      </c>
    </row>
    <row r="45">
      <c r="A45" s="2" t="inlineStr">
        <is>
          <t>Legal</t>
        </is>
      </c>
      <c r="B45" s="2" t="inlineStr">
        <is>
          <t>Technician</t>
        </is>
      </c>
      <c r="C45" s="2" t="inlineStr">
        <is>
          <t>Marcus Webb</t>
        </is>
      </c>
      <c r="D45" s="2" t="inlineStr">
        <is>
          <t>Detailed and procedural</t>
        </is>
      </c>
      <c r="E45" s="2" t="inlineStr">
        <is>
          <t>Legal operations specialist who designs efficient practice workflows.</t>
        </is>
      </c>
      <c r="F45" s="2" t="inlineStr">
        <is>
          <t>Legal tech, practice management, document automation, compliance tracking</t>
        </is>
      </c>
      <c r="G45" s="2" t="inlineStr">
        <is>
          <t>Process documentation with workflow diagrams</t>
        </is>
      </c>
      <c r="H45" s="2" t="inlineStr">
        <is>
          <t>Efficiency is not optional in modern law. | Automate the routine, humanize the complex.</t>
        </is>
      </c>
      <c r="I45" s="2" t="inlineStr">
        <is>
          <t>Office with dual screens showing legal software</t>
        </is>
      </c>
      <c r="J45" s="2" t="inlineStr">
        <is>
          <t>Legal ops certified, 100+ firms optimized, Legal tech reviewer</t>
        </is>
      </c>
      <c r="K45" s="2" t="inlineStr">
        <is>
          <t>LinkedIn, YouTube</t>
        </is>
      </c>
      <c r="L45" s="2" t="inlineStr">
        <is>
          <t>2x/week</t>
        </is>
      </c>
      <c r="M45" s="2" t="inlineStr">
        <is>
          <t>Legal tech reviews, workflow guides</t>
        </is>
      </c>
    </row>
    <row r="46">
      <c r="A46" s="2" t="inlineStr">
        <is>
          <t>Legal</t>
        </is>
      </c>
      <c r="B46" s="2" t="inlineStr">
        <is>
          <t>Advisor</t>
        </is>
      </c>
      <c r="C46" s="2" t="inlineStr">
        <is>
          <t>Sophie Laurent</t>
        </is>
      </c>
      <c r="D46" s="2" t="inlineStr">
        <is>
          <t>Empathetic and strategic</t>
        </is>
      </c>
      <c r="E46" s="2" t="inlineStr">
        <is>
          <t>Family law attorney dedicated to guiding families through difficult transitions.</t>
        </is>
      </c>
      <c r="F46" s="2" t="inlineStr">
        <is>
          <t>Family law, mediation, estate planning, collaborative divorce</t>
        </is>
      </c>
      <c r="G46" s="2" t="inlineStr">
        <is>
          <t>Client-centered advice with compassionate framing</t>
        </is>
      </c>
      <c r="H46" s="2" t="inlineStr">
        <is>
          <t>The best legal outcome is the one that heals. | Your family deserves clarity.</t>
        </is>
      </c>
      <c r="I46" s="2" t="inlineStr">
        <is>
          <t>Warm, welcoming office</t>
        </is>
      </c>
      <c r="J46" s="2" t="inlineStr">
        <is>
          <t>15 years family law, 1,000+ families served, Certified mediator</t>
        </is>
      </c>
      <c r="K46" s="2" t="inlineStr">
        <is>
          <t>Instagram, Facebook</t>
        </is>
      </c>
      <c r="L46" s="2" t="inlineStr">
        <is>
          <t>3x/week</t>
        </is>
      </c>
      <c r="M46" s="2" t="inlineStr">
        <is>
          <t>Client stories, family law tips</t>
        </is>
      </c>
    </row>
    <row r="47">
      <c r="A47" s="2" t="inlineStr">
        <is>
          <t>Legal</t>
        </is>
      </c>
      <c r="B47" s="2" t="inlineStr">
        <is>
          <t>Educator</t>
        </is>
      </c>
      <c r="C47" s="2" t="inlineStr">
        <is>
          <t>Jerome King</t>
        </is>
      </c>
      <c r="D47" s="2" t="inlineStr">
        <is>
          <t>Clear and empowering</t>
        </is>
      </c>
      <c r="E47" s="2" t="inlineStr">
        <is>
          <t>Legal educator making the law accessible to non-lawyers and small businesses.</t>
        </is>
      </c>
      <c r="F47" s="2" t="inlineStr">
        <is>
          <t>Business law basics, contract literacy, IP protection, employment law</t>
        </is>
      </c>
      <c r="G47" s="2" t="inlineStr">
        <is>
          <t>Plain-language legal explainers</t>
        </is>
      </c>
      <c r="H47" s="2" t="inlineStr">
        <is>
          <t>You do not need a law degree to protect your business. | Knowledge is your first line of defense.</t>
        </is>
      </c>
      <c r="I47" s="2" t="inlineStr">
        <is>
          <t>Classroom or podcast setting</t>
        </is>
      </c>
      <c r="J47" s="2" t="inlineStr">
        <is>
          <t>Legal educator 10 years, 50k subscribers, Law Made Simple podcast</t>
        </is>
      </c>
      <c r="K47" s="2" t="inlineStr">
        <is>
          <t>YouTube, TikTok</t>
        </is>
      </c>
      <c r="L47" s="2" t="inlineStr">
        <is>
          <t>4x/week</t>
        </is>
      </c>
      <c r="M47" s="2" t="inlineStr">
        <is>
          <t>Legal explainers, myth-busting</t>
        </is>
      </c>
    </row>
    <row r="48">
      <c r="A48" s="2" t="inlineStr">
        <is>
          <t>Legal</t>
        </is>
      </c>
      <c r="B48" s="2" t="inlineStr">
        <is>
          <t>Storyteller</t>
        </is>
      </c>
      <c r="C48" s="2" t="inlineStr">
        <is>
          <t>Alexis Bond</t>
        </is>
      </c>
      <c r="D48" s="2" t="inlineStr">
        <is>
          <t>Raw and purposeful</t>
        </is>
      </c>
      <c r="E48" s="2" t="inlineStr">
        <is>
          <t>Wrongful conviction exoneree now advocating for criminal justice reform.</t>
        </is>
      </c>
      <c r="F48" s="2" t="inlineStr">
        <is>
          <t>Criminal justice, wrongful convictions, reform advocacy, resilience</t>
        </is>
      </c>
      <c r="G48" s="2" t="inlineStr">
        <is>
          <t>Personal justice story with systemic insights</t>
        </is>
      </c>
      <c r="H48" s="2" t="inlineStr">
        <is>
          <t>I lost 8 years. I am making every day count. | Justice is not just a word.</t>
        </is>
      </c>
      <c r="I48" s="2" t="inlineStr">
        <is>
          <t>Community settings, advocacy events</t>
        </is>
      </c>
      <c r="J48" s="2" t="inlineStr">
        <is>
          <t>Exoneree story documented, National advocacy platform, TEDx speaker</t>
        </is>
      </c>
      <c r="K48" s="2" t="inlineStr">
        <is>
          <t>Instagram, TikTok</t>
        </is>
      </c>
      <c r="L48" s="2" t="inlineStr">
        <is>
          <t>Daily</t>
        </is>
      </c>
      <c r="M48" s="2" t="inlineStr">
        <is>
          <t>Justice journey, advocacy updates</t>
        </is>
      </c>
    </row>
    <row r="49">
      <c r="A49" s="2" t="inlineStr">
        <is>
          <t>Legal</t>
        </is>
      </c>
      <c r="B49" s="2" t="inlineStr">
        <is>
          <t>Local-Authority</t>
        </is>
      </c>
      <c r="C49" s="2" t="inlineStr">
        <is>
          <t>Patricia Owens</t>
        </is>
      </c>
      <c r="D49" s="2" t="inlineStr">
        <is>
          <t>Trusted and community-rooted</t>
        </is>
      </c>
      <c r="E49" s="2" t="inlineStr">
        <is>
          <t>Small-town attorney who has served the same community for 25 years.</t>
        </is>
      </c>
      <c r="F49" s="2" t="inlineStr">
        <is>
          <t>Real estate closings, estate planning, local business law, landlord-tenant</t>
        </is>
      </c>
      <c r="G49" s="2" t="inlineStr">
        <is>
          <t>Local legal tips and community legal workshops</t>
        </is>
      </c>
      <c r="H49" s="2" t="inlineStr">
        <is>
          <t>This town trusts me because I have been here. | Local law, local lawyer.</t>
        </is>
      </c>
      <c r="I49" s="2" t="inlineStr">
        <is>
          <t>Main street office, community backdrop</t>
        </is>
      </c>
      <c r="J49" s="2" t="inlineStr">
        <is>
          <t>25 years same town, 3,000+ clients, Community legal clinic founder</t>
        </is>
      </c>
      <c r="K49" s="2" t="inlineStr">
        <is>
          <t>Facebook, LinkedIn</t>
        </is>
      </c>
      <c r="L49" s="2" t="inlineStr">
        <is>
          <t>2x/week</t>
        </is>
      </c>
      <c r="M49" s="2" t="inlineStr">
        <is>
          <t>Local legal tips, community events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s>
  <sheetData>
    <row r="1">
      <c r="A1" s="1" t="inlineStr">
        <is>
          <t>Niche</t>
        </is>
      </c>
      <c r="B1" s="1" t="inlineStr">
        <is>
          <t>Services Offered</t>
        </is>
      </c>
      <c r="C1" s="1" t="inlineStr">
        <is>
          <t>Price Range Min</t>
        </is>
      </c>
      <c r="D1" s="1" t="inlineStr">
        <is>
          <t>Price Range Max</t>
        </is>
      </c>
      <c r="E1" s="1" t="inlineStr">
        <is>
          <t>Guarantee Type</t>
        </is>
      </c>
      <c r="F1" s="1" t="inlineStr">
        <is>
          <t>Guarantee Duration (days)</t>
        </is>
      </c>
      <c r="G1" s="1" t="inlineStr">
        <is>
          <t>Pain Point 1</t>
        </is>
      </c>
      <c r="H1" s="1" t="inlineStr">
        <is>
          <t>Pain Point 2</t>
        </is>
      </c>
      <c r="I1" s="1" t="inlineStr">
        <is>
          <t>Pain Point 3</t>
        </is>
      </c>
      <c r="J1" s="1" t="inlineStr">
        <is>
          <t>Desired Outcome 1</t>
        </is>
      </c>
      <c r="K1" s="1" t="inlineStr">
        <is>
          <t>Desired Outcome 2</t>
        </is>
      </c>
      <c r="L1" s="1" t="inlineStr">
        <is>
          <t>Desired Outcome 3</t>
        </is>
      </c>
      <c r="M1" s="1" t="inlineStr">
        <is>
          <t>Social Proof Template</t>
        </is>
      </c>
      <c r="N1" s="1" t="inlineStr">
        <is>
          <t>Starter Tier Price</t>
        </is>
      </c>
      <c r="O1" s="1" t="inlineStr">
        <is>
          <t>Growth Tier Price</t>
        </is>
      </c>
      <c r="P1" s="1" t="inlineStr">
        <is>
          <t>Scale Tier Price</t>
        </is>
      </c>
      <c r="Q1" s="1" t="inlineStr">
        <is>
          <t>Bundle Discount Strategy</t>
        </is>
      </c>
      <c r="R1" s="1" t="inlineStr">
        <is>
          <t>Urgency Types Available</t>
        </is>
      </c>
      <c r="S1" s="1" t="inlineStr">
        <is>
          <t>Scarcity Types Available</t>
        </is>
      </c>
      <c r="T1" s="1" t="inlineStr">
        <is>
          <t>Risk Reversal Headline</t>
        </is>
      </c>
    </row>
    <row r="2">
      <c r="A2" s="2" t="inlineStr">
        <is>
          <t>Construction</t>
        </is>
      </c>
      <c r="B2" s="2" t="inlineStr">
        <is>
          <t>General Contracting; Commercial Build-Out; Renovation; Project Management</t>
        </is>
      </c>
      <c r="C2" s="2" t="inlineStr">
        <is>
          <t>$5,000</t>
        </is>
      </c>
      <c r="D2" s="2" t="inlineStr">
        <is>
          <t>$50,000</t>
        </is>
      </c>
      <c r="E2" s="2" t="inlineStr">
        <is>
          <t>Results-based</t>
        </is>
      </c>
      <c r="F2" s="2" t="inlineStr">
        <is>
          <t>90</t>
        </is>
      </c>
      <c r="G2" s="2" t="inlineStr">
        <is>
          <t>Losing bids to competitors with lower overhead</t>
        </is>
      </c>
      <c r="H2" s="2" t="inlineStr">
        <is>
          <t>Inconsistent project pipeline causing cash flow gaps</t>
        </is>
      </c>
      <c r="I2" s="2" t="inlineStr">
        <is>
          <t>Wasting time on unqualified leads that never convert</t>
        </is>
      </c>
      <c r="J2" s="2" t="inlineStr">
        <is>
          <t>A full pipeline of pre-qualified commercial projects</t>
        </is>
      </c>
      <c r="K2" s="2" t="inlineStr">
        <is>
          <t>Predictable monthly revenue without feast-or-famine</t>
        </is>
      </c>
      <c r="L2" s="2" t="inlineStr">
        <is>
          <t>Higher close rates on bids worth $50K+</t>
        </is>
      </c>
      <c r="M2" s="2" t="inlineStr">
        <is>
          <t>Trusted by {{count}}+ contractors across {{rating}}-star reviews</t>
        </is>
      </c>
      <c r="N2" s="2">
        <f>ROUND((5000+50000)/2*0.5,-2)</f>
        <v/>
      </c>
      <c r="O2" s="2">
        <f>ROUND((5000+50000)/2,-2)</f>
        <v/>
      </c>
      <c r="P2" s="2">
        <f>ROUND((5000+50000)/2*1.6,-2)</f>
        <v/>
      </c>
      <c r="Q2" s="2" t="inlineStr">
        <is>
          <t>Tiered (15%/25%/30%)</t>
        </is>
      </c>
      <c r="R2" s="2" t="inlineStr">
        <is>
          <t>countdown, limited-spots, seasonal</t>
        </is>
      </c>
      <c r="S2" s="2" t="inlineStr">
        <is>
          <t>capacity, waitlist, exclusivity</t>
        </is>
      </c>
      <c r="T2" s="2" t="inlineStr">
        <is>
          <t>If you don't win more bids in 90 days, you pay nothing</t>
        </is>
      </c>
    </row>
    <row r="3">
      <c r="A3" s="2" t="inlineStr">
        <is>
          <t>Legal</t>
        </is>
      </c>
      <c r="B3" s="2" t="inlineStr">
        <is>
          <t>Case Evaluation; Legal Consultation; Retainer Package; Litigation Support</t>
        </is>
      </c>
      <c r="C3" s="2" t="inlineStr">
        <is>
          <t>$2,000</t>
        </is>
      </c>
      <c r="D3" s="2" t="inlineStr">
        <is>
          <t>$25,000</t>
        </is>
      </c>
      <c r="E3" s="2" t="inlineStr">
        <is>
          <t>Satisfaction</t>
        </is>
      </c>
      <c r="F3" s="2" t="inlineStr">
        <is>
          <t>30</t>
        </is>
      </c>
      <c r="G3" s="2" t="inlineStr">
        <is>
          <t>Spending too much on advertising with low case conversion</t>
        </is>
      </c>
      <c r="H3" s="2" t="inlineStr">
        <is>
          <t>Intake process losing qualified leads to slow follow-up</t>
        </is>
      </c>
      <c r="I3" s="2" t="inlineStr">
        <is>
          <t>Difficulty standing out in a crowded legal market</t>
        </is>
      </c>
      <c r="J3" s="2" t="inlineStr">
        <is>
          <t>A steady stream of high-value case inquiries</t>
        </is>
      </c>
      <c r="K3" s="2" t="inlineStr">
        <is>
          <t>Automated intake that converts leads within minutes</t>
        </is>
      </c>
      <c r="L3" s="2" t="inlineStr">
        <is>
          <t>Authority positioning that commands premium fees</t>
        </is>
      </c>
      <c r="M3" s="2" t="inlineStr">
        <is>
          <t>Helping {{count}}+ law firms increase case volume with {{rating}}-star satisfaction</t>
        </is>
      </c>
      <c r="N3" s="2">
        <f>ROUND((2000+25000)/2*0.5,-2)</f>
        <v/>
      </c>
      <c r="O3" s="2">
        <f>ROUND((2000+25000)/2,-2)</f>
        <v/>
      </c>
      <c r="P3" s="2">
        <f>ROUND((2000+25000)/2*1.6,-2)</f>
        <v/>
      </c>
      <c r="Q3" s="2" t="inlineStr">
        <is>
          <t>Tiered (15%/25%/30%)</t>
        </is>
      </c>
      <c r="R3" s="2" t="inlineStr">
        <is>
          <t>countdown, limited-spots, seasonal</t>
        </is>
      </c>
      <c r="S3" s="2" t="inlineStr">
        <is>
          <t>capacity, waitlist, exclusivity</t>
        </is>
      </c>
      <c r="T3" s="2" t="inlineStr">
        <is>
          <t>100% satisfaction guarantee — 30-day no-questions refund</t>
        </is>
      </c>
    </row>
    <row r="4">
      <c r="A4" s="2" t="inlineStr">
        <is>
          <t>Healthcare</t>
        </is>
      </c>
      <c r="B4" s="2" t="inlineStr">
        <is>
          <t>Patient Acquisition; Telehealth Setup; Practice Growth; Retention Program</t>
        </is>
      </c>
      <c r="C4" s="2" t="inlineStr">
        <is>
          <t>$3,000</t>
        </is>
      </c>
      <c r="D4" s="2" t="inlineStr">
        <is>
          <t>$30,000</t>
        </is>
      </c>
      <c r="E4" s="2" t="inlineStr">
        <is>
          <t>Results-based</t>
        </is>
      </c>
      <c r="F4" s="2" t="inlineStr">
        <is>
          <t>60</t>
        </is>
      </c>
      <c r="G4" s="2" t="inlineStr">
        <is>
          <t>Empty appointment slots costing thousands per week</t>
        </is>
      </c>
      <c r="H4" s="2" t="inlineStr">
        <is>
          <t>Patient no-shows eating into revenue</t>
        </is>
      </c>
      <c r="I4" s="2" t="inlineStr">
        <is>
          <t>Difficulty attracting new patients</t>
        </is>
      </c>
      <c r="J4" s="2" t="inlineStr">
        <is>
          <t>Fully booked schedules with high-value patients</t>
        </is>
      </c>
      <c r="K4" s="2" t="inlineStr">
        <is>
          <t>Reduced no-show rates through automated reminders</t>
        </is>
      </c>
      <c r="L4" s="2" t="inlineStr">
        <is>
          <t>Reputation that attracts patients without paid ads</t>
        </is>
      </c>
      <c r="M4" s="2" t="inlineStr">
        <is>
          <t>{{count}}+ healthcare practices trust us — {{rating}}-star average rating</t>
        </is>
      </c>
      <c r="N4" s="2">
        <f>ROUND((3000+30000)/2*0.5,-2)</f>
        <v/>
      </c>
      <c r="O4" s="2">
        <f>ROUND((3000+30000)/2,-2)</f>
        <v/>
      </c>
      <c r="P4" s="2">
        <f>ROUND((3000+30000)/2*1.6,-2)</f>
        <v/>
      </c>
      <c r="Q4" s="2" t="inlineStr">
        <is>
          <t>Tiered (15%/25%/30%)</t>
        </is>
      </c>
      <c r="R4" s="2" t="inlineStr">
        <is>
          <t>countdown, limited-spots, seasonal</t>
        </is>
      </c>
      <c r="S4" s="2" t="inlineStr">
        <is>
          <t>capacity, waitlist, exclusivity</t>
        </is>
      </c>
      <c r="T4" s="2" t="inlineStr">
        <is>
          <t>Results guaranteed in 60 days or your investment back</t>
        </is>
      </c>
    </row>
    <row r="5">
      <c r="A5" s="2" t="inlineStr">
        <is>
          <t>Real Estate</t>
        </is>
      </c>
      <c r="B5" s="2" t="inlineStr">
        <is>
          <t>Listing Generation; Buyer Lead System; Open House Automation; CRM Setup</t>
        </is>
      </c>
      <c r="C5" s="2" t="inlineStr">
        <is>
          <t>$1,500</t>
        </is>
      </c>
      <c r="D5" s="2" t="inlineStr">
        <is>
          <t>$15,000</t>
        </is>
      </c>
      <c r="E5" s="2" t="inlineStr">
        <is>
          <t>Money-back</t>
        </is>
      </c>
      <c r="F5" s="2" t="inlineStr">
        <is>
          <t>60</t>
        </is>
      </c>
      <c r="G5" s="2" t="inlineStr">
        <is>
          <t>Spending thousands on Zillow leads with poor conversion</t>
        </is>
      </c>
      <c r="H5" s="2" t="inlineStr">
        <is>
          <t>Missing follow-ups on warm prospects</t>
        </is>
      </c>
      <c r="I5" s="2" t="inlineStr">
        <is>
          <t>Inconsistent deal flow</t>
        </is>
      </c>
      <c r="J5" s="2" t="inlineStr">
        <is>
          <t>Predictable pipeline of motivated buyers and sellers</t>
        </is>
      </c>
      <c r="K5" s="2" t="inlineStr">
        <is>
          <t>Automated follow-up that nurtures to closing</t>
        </is>
      </c>
      <c r="L5" s="2" t="inlineStr">
        <is>
          <t>More closings per month with less prospecting</t>
        </is>
      </c>
      <c r="M5" s="2" t="inlineStr">
        <is>
          <t>{{count}}+ agents growing their business — {{rating}}-star rated</t>
        </is>
      </c>
      <c r="N5" s="2">
        <f>ROUND((1500+15000)/2*0.5,-2)</f>
        <v/>
      </c>
      <c r="O5" s="2">
        <f>ROUND((1500+15000)/2,-2)</f>
        <v/>
      </c>
      <c r="P5" s="2">
        <f>ROUND((1500+15000)/2*1.6,-2)</f>
        <v/>
      </c>
      <c r="Q5" s="2" t="inlineStr">
        <is>
          <t>Tiered (15%/25%/30%)</t>
        </is>
      </c>
      <c r="R5" s="2" t="inlineStr">
        <is>
          <t>countdown, limited-spots, seasonal</t>
        </is>
      </c>
      <c r="S5" s="2" t="inlineStr">
        <is>
          <t>capacity, waitlist, exclusivity</t>
        </is>
      </c>
      <c r="T5" s="2" t="inlineStr">
        <is>
          <t>60-day money-back guarantee — no questions asked</t>
        </is>
      </c>
    </row>
    <row r="6">
      <c r="A6" s="2" t="inlineStr">
        <is>
          <t>Home Services</t>
        </is>
      </c>
      <c r="B6" s="2" t="inlineStr">
        <is>
          <t>Lead Generation; Booking System; Review Management; Service Area Expansion</t>
        </is>
      </c>
      <c r="C6" s="2" t="inlineStr">
        <is>
          <t>$1,000</t>
        </is>
      </c>
      <c r="D6" s="2" t="inlineStr">
        <is>
          <t>$10,000</t>
        </is>
      </c>
      <c r="E6" s="2" t="inlineStr">
        <is>
          <t>Money-back</t>
        </is>
      </c>
      <c r="F6" s="2" t="inlineStr">
        <is>
          <t>30</t>
        </is>
      </c>
      <c r="G6" s="2" t="inlineStr">
        <is>
          <t>Seasonal slowdowns creating unpredictable revenue</t>
        </is>
      </c>
      <c r="H6" s="2" t="inlineStr">
        <is>
          <t>Losing jobs to competitors who respond faster</t>
        </is>
      </c>
      <c r="I6" s="2" t="inlineStr">
        <is>
          <t>Low online visibility in service area</t>
        </is>
      </c>
      <c r="J6" s="2" t="inlineStr">
        <is>
          <t>Phone rings with qualified requests year-round</t>
        </is>
      </c>
      <c r="K6" s="2" t="inlineStr">
        <is>
          <t>Instant response automation books jobs first</t>
        </is>
      </c>
      <c r="L6" s="2" t="inlineStr">
        <is>
          <t>Dominant local presence in top service areas</t>
        </is>
      </c>
      <c r="M6" s="2" t="inlineStr">
        <is>
          <t>{{count}}+ home service pros — {{rating}}-star average</t>
        </is>
      </c>
      <c r="N6" s="2">
        <f>ROUND((1000+10000)/2*0.5,-2)</f>
        <v/>
      </c>
      <c r="O6" s="2">
        <f>ROUND((1000+10000)/2,-2)</f>
        <v/>
      </c>
      <c r="P6" s="2">
        <f>ROUND((1000+10000)/2*1.6,-2)</f>
        <v/>
      </c>
      <c r="Q6" s="2" t="inlineStr">
        <is>
          <t>Tiered (15%/25%/30%)</t>
        </is>
      </c>
      <c r="R6" s="2" t="inlineStr">
        <is>
          <t>countdown, limited-spots, seasonal</t>
        </is>
      </c>
      <c r="S6" s="2" t="inlineStr">
        <is>
          <t>capacity, waitlist, exclusivity</t>
        </is>
      </c>
      <c r="T6" s="2" t="inlineStr">
        <is>
          <t>30-day money-back guarantee if you don't see results</t>
        </is>
      </c>
    </row>
    <row r="7">
      <c r="A7" s="2" t="inlineStr">
        <is>
          <t>Franchise</t>
        </is>
      </c>
      <c r="B7" s="2" t="inlineStr">
        <is>
          <t>Franchise Lead Gen; Multi-Location Marketing; Brand Compliance; Territory Expansion</t>
        </is>
      </c>
      <c r="C7" s="2" t="inlineStr">
        <is>
          <t>$5,000</t>
        </is>
      </c>
      <c r="D7" s="2" t="inlineStr">
        <is>
          <t>$40,000</t>
        </is>
      </c>
      <c r="E7" s="2" t="inlineStr">
        <is>
          <t>Results-based</t>
        </is>
      </c>
      <c r="F7" s="2" t="inlineStr">
        <is>
          <t>90</t>
        </is>
      </c>
      <c r="G7" s="2" t="inlineStr">
        <is>
          <t>Inconsistent marketing across locations</t>
        </is>
      </c>
      <c r="H7" s="2" t="inlineStr">
        <is>
          <t>Franchisees struggling to generate local leads</t>
        </is>
      </c>
      <c r="I7" s="2" t="inlineStr">
        <is>
          <t>Brand dilution from non-compliant campaigns</t>
        </is>
      </c>
      <c r="J7" s="2" t="inlineStr">
        <is>
          <t>Unified lead generation across all locations</t>
        </is>
      </c>
      <c r="K7" s="2" t="inlineStr">
        <is>
          <t>Scalable marketing playbook for franchisees</t>
        </is>
      </c>
      <c r="L7" s="2" t="inlineStr">
        <is>
          <t>Brand-consistent campaigns with local results</t>
        </is>
      </c>
      <c r="M7" s="2" t="inlineStr">
        <is>
          <t>Powering {{count}}+ franchise locations — {{rating}}-star platform</t>
        </is>
      </c>
      <c r="N7" s="2">
        <f>ROUND((5000+40000)/2*0.5,-2)</f>
        <v/>
      </c>
      <c r="O7" s="2">
        <f>ROUND((5000+40000)/2,-2)</f>
        <v/>
      </c>
      <c r="P7" s="2">
        <f>ROUND((5000+40000)/2*1.6,-2)</f>
        <v/>
      </c>
      <c r="Q7" s="2" t="inlineStr">
        <is>
          <t>Tiered (15%/25%/30%)</t>
        </is>
      </c>
      <c r="R7" s="2" t="inlineStr">
        <is>
          <t>countdown, limited-spots, seasonal</t>
        </is>
      </c>
      <c r="S7" s="2" t="inlineStr">
        <is>
          <t>capacity, waitlist, exclusivity</t>
        </is>
      </c>
      <c r="T7" s="2" t="inlineStr">
        <is>
          <t>90-day results guarantee across all franchise locations</t>
        </is>
      </c>
    </row>
    <row r="8">
      <c r="A8" s="2" t="inlineStr">
        <is>
          <t>Staffing</t>
        </is>
      </c>
      <c r="B8" s="2" t="inlineStr">
        <is>
          <t>Candidate Pipeline; Client Acquisition; Placement Automation; Talent Branding</t>
        </is>
      </c>
      <c r="C8" s="2" t="inlineStr">
        <is>
          <t>$3,000</t>
        </is>
      </c>
      <c r="D8" s="2" t="inlineStr">
        <is>
          <t>$25,000</t>
        </is>
      </c>
      <c r="E8" s="2" t="inlineStr">
        <is>
          <t>Results-based</t>
        </is>
      </c>
      <c r="F8" s="2" t="inlineStr">
        <is>
          <t>60</t>
        </is>
      </c>
      <c r="G8" s="2" t="inlineStr">
        <is>
          <t>Not enough qualified candidates to fill open roles</t>
        </is>
      </c>
      <c r="H8" s="2" t="inlineStr">
        <is>
          <t>Long time-to-fill hurting client relationships</t>
        </is>
      </c>
      <c r="I8" s="2" t="inlineStr">
        <is>
          <t>High recruiter burnout from manual sourcing</t>
        </is>
      </c>
      <c r="J8" s="2" t="inlineStr">
        <is>
          <t>Deep pipeline of pre-screened candidates</t>
        </is>
      </c>
      <c r="K8" s="2" t="inlineStr">
        <is>
          <t>Faster fills that keep clients loyal</t>
        </is>
      </c>
      <c r="L8" s="2" t="inlineStr">
        <is>
          <t>Automated sourcing freeing recruiters for high-value work</t>
        </is>
      </c>
      <c r="M8" s="2" t="inlineStr">
        <is>
          <t>{{count}}+ staffing firms scaling with us — {{rating}}-star rated</t>
        </is>
      </c>
      <c r="N8" s="2">
        <f>ROUND((3000+25000)/2*0.5,-2)</f>
        <v/>
      </c>
      <c r="O8" s="2">
        <f>ROUND((3000+25000)/2,-2)</f>
        <v/>
      </c>
      <c r="P8" s="2">
        <f>ROUND((3000+25000)/2*1.6,-2)</f>
        <v/>
      </c>
      <c r="Q8" s="2" t="inlineStr">
        <is>
          <t>Tiered (15%/25%/30%)</t>
        </is>
      </c>
      <c r="R8" s="2" t="inlineStr">
        <is>
          <t>countdown, limited-spots, seasonal</t>
        </is>
      </c>
      <c r="S8" s="2" t="inlineStr">
        <is>
          <t>capacity, waitlist, exclusivity</t>
        </is>
      </c>
      <c r="T8" s="2" t="inlineStr">
        <is>
          <t>60-day results guarantee — more placements or your money back</t>
        </is>
      </c>
    </row>
    <row r="9">
      <c r="A9" s="2" t="inlineStr">
        <is>
          <t>Technology</t>
        </is>
      </c>
      <c r="B9" s="2" t="inlineStr">
        <is>
          <t>SaaS Lead Gen; Demo Pipeline; Product-Led Growth; Developer Marketing</t>
        </is>
      </c>
      <c r="C9" s="2" t="inlineStr">
        <is>
          <t>$5,000</t>
        </is>
      </c>
      <c r="D9" s="2" t="inlineStr">
        <is>
          <t>$50,000</t>
        </is>
      </c>
      <c r="E9" s="2" t="inlineStr">
        <is>
          <t>Results-based</t>
        </is>
      </c>
      <c r="F9" s="2" t="inlineStr">
        <is>
          <t>90</t>
        </is>
      </c>
      <c r="G9" s="2" t="inlineStr">
        <is>
          <t>High CAC eroding margins on acquisition</t>
        </is>
      </c>
      <c r="H9" s="2" t="inlineStr">
        <is>
          <t>Long sales cycles with too many unqualified demos</t>
        </is>
      </c>
      <c r="I9" s="2" t="inlineStr">
        <is>
          <t>Low trial-to-paid conversion despite good product</t>
        </is>
      </c>
      <c r="J9" s="2" t="inlineStr">
        <is>
          <t>Lower CAC through intent-based lead qualification</t>
        </is>
      </c>
      <c r="K9" s="2" t="inlineStr">
        <is>
          <t>Shorter sales cycles with qualified demo pipeline</t>
        </is>
      </c>
      <c r="L9" s="2" t="inlineStr">
        <is>
          <t>Higher conversion from trial to paid</t>
        </is>
      </c>
      <c r="M9" s="2" t="inlineStr">
        <is>
          <t>{{count}}+ tech companies growing faster — {{rating}}-star platform</t>
        </is>
      </c>
      <c r="N9" s="2">
        <f>ROUND((5000+50000)/2*0.5,-2)</f>
        <v/>
      </c>
      <c r="O9" s="2">
        <f>ROUND((5000+50000)/2,-2)</f>
        <v/>
      </c>
      <c r="P9" s="2">
        <f>ROUND((5000+50000)/2*1.6,-2)</f>
        <v/>
      </c>
      <c r="Q9" s="2" t="inlineStr">
        <is>
          <t>Tiered (15%/25%/30%)</t>
        </is>
      </c>
      <c r="R9" s="2" t="inlineStr">
        <is>
          <t>countdown, limited-spots, seasonal</t>
        </is>
      </c>
      <c r="S9" s="2" t="inlineStr">
        <is>
          <t>capacity, waitlist, exclusivity</t>
        </is>
      </c>
      <c r="T9" s="2" t="inlineStr">
        <is>
          <t>90-day results guarantee — measurable growth or full refund</t>
        </is>
      </c>
    </row>
    <row r="10">
      <c r="A10" s="2" t="inlineStr">
        <is>
          <t>Professional Services</t>
        </is>
      </c>
      <c r="B10" s="2" t="inlineStr">
        <is>
          <t>Client Acquisition; Thought Leadership; Referral System; Proposal Automation</t>
        </is>
      </c>
      <c r="C10" s="2" t="inlineStr">
        <is>
          <t>$2,500</t>
        </is>
      </c>
      <c r="D10" s="2" t="inlineStr">
        <is>
          <t>$20,000</t>
        </is>
      </c>
      <c r="E10" s="2" t="inlineStr">
        <is>
          <t>Satisfaction</t>
        </is>
      </c>
      <c r="F10" s="2" t="inlineStr">
        <is>
          <t>45</t>
        </is>
      </c>
      <c r="G10" s="2" t="inlineStr">
        <is>
          <t>Over-reliance on referrals creating unpredictable growth</t>
        </is>
      </c>
      <c r="H10" s="2" t="inlineStr">
        <is>
          <t>Difficulty justifying fees against lower-cost competitors</t>
        </is>
      </c>
      <c r="I10" s="2" t="inlineStr">
        <is>
          <t>Time wasted on proposals that never close</t>
        </is>
      </c>
      <c r="J10" s="2" t="inlineStr">
        <is>
          <t>Diversified pipeline beyond referrals</t>
        </is>
      </c>
      <c r="K10" s="2" t="inlineStr">
        <is>
          <t>Premium positioning that justifies rates</t>
        </is>
      </c>
      <c r="L10" s="2" t="inlineStr">
        <is>
          <t>Higher proposal win rates with less effort</t>
        </is>
      </c>
      <c r="M10" s="2" t="inlineStr">
        <is>
          <t>{{count}}+ professional firms trust us — {{rating}}-star satisfaction</t>
        </is>
      </c>
      <c r="N10" s="2">
        <f>ROUND((2500+20000)/2*0.5,-2)</f>
        <v/>
      </c>
      <c r="O10" s="2">
        <f>ROUND((2500+20000)/2,-2)</f>
        <v/>
      </c>
      <c r="P10" s="2">
        <f>ROUND((2500+20000)/2*1.6,-2)</f>
        <v/>
      </c>
      <c r="Q10" s="2" t="inlineStr">
        <is>
          <t>Tiered (15%/25%/30%)</t>
        </is>
      </c>
      <c r="R10" s="2" t="inlineStr">
        <is>
          <t>countdown, limited-spots, seasonal</t>
        </is>
      </c>
      <c r="S10" s="2" t="inlineStr">
        <is>
          <t>capacity, waitlist, exclusivity</t>
        </is>
      </c>
      <c r="T10" s="2" t="inlineStr">
        <is>
          <t>45-day satisfaction guarantee — results or refund</t>
        </is>
      </c>
    </row>
    <row r="11">
      <c r="A11" s="2" t="inlineStr">
        <is>
          <t>Education</t>
        </is>
      </c>
      <c r="B11" s="2" t="inlineStr">
        <is>
          <t>Enrollment Marketing; Student Lead Gen; Retention Program; Alumni Engagement</t>
        </is>
      </c>
      <c r="C11" s="2" t="inlineStr">
        <is>
          <t>$2,000</t>
        </is>
      </c>
      <c r="D11" s="2" t="inlineStr">
        <is>
          <t>$20,000</t>
        </is>
      </c>
      <c r="E11" s="2" t="inlineStr">
        <is>
          <t>Satisfaction</t>
        </is>
      </c>
      <c r="F11" s="2" t="inlineStr">
        <is>
          <t>60</t>
        </is>
      </c>
      <c r="G11" s="2" t="inlineStr">
        <is>
          <t>Declining enrollment despite increasing marketing spend</t>
        </is>
      </c>
      <c r="H11" s="2" t="inlineStr">
        <is>
          <t>Long decision cycles losing students to competitors</t>
        </is>
      </c>
      <c r="I11" s="2" t="inlineStr">
        <is>
          <t>Poor visibility into which channels drive enrollments</t>
        </is>
      </c>
      <c r="J11" s="2" t="inlineStr">
        <is>
          <t>Consistent enrollment growth from qualified applicants</t>
        </is>
      </c>
      <c r="K11" s="2" t="inlineStr">
        <is>
          <t>Shorter decision cycles with automated nurture</t>
        </is>
      </c>
      <c r="L11" s="2" t="inlineStr">
        <is>
          <t>Clear ROI attribution on every marketing dollar</t>
        </is>
      </c>
      <c r="M11" s="2" t="inlineStr">
        <is>
          <t>{{count}}+ educational institutions enrolled — {{rating}}-star rated</t>
        </is>
      </c>
      <c r="N11" s="2">
        <f>ROUND((2000+20000)/2*0.5,-2)</f>
        <v/>
      </c>
      <c r="O11" s="2">
        <f>ROUND((2000+20000)/2,-2)</f>
        <v/>
      </c>
      <c r="P11" s="2">
        <f>ROUND((2000+20000)/2*1.6,-2)</f>
        <v/>
      </c>
      <c r="Q11" s="2" t="inlineStr">
        <is>
          <t>Tiered (15%/25%/30%)</t>
        </is>
      </c>
      <c r="R11" s="2" t="inlineStr">
        <is>
          <t>countdown, limited-spots, seasonal</t>
        </is>
      </c>
      <c r="S11" s="2" t="inlineStr">
        <is>
          <t>capacity, waitlist, exclusivity</t>
        </is>
      </c>
      <c r="T11" s="2" t="inlineStr">
        <is>
          <t>60-day satisfaction guarantee — enrollment growth or refund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s>
  <sheetData>
    <row r="1">
      <c r="A1" s="1" t="inlineStr">
        <is>
          <t>Plan ID</t>
        </is>
      </c>
      <c r="B1" s="1" t="inlineStr">
        <is>
          <t>Plan Name</t>
        </is>
      </c>
      <c r="C1" s="1" t="inlineStr">
        <is>
          <t>Revenue Model</t>
        </is>
      </c>
      <c r="D1" s="1" t="inlineStr">
        <is>
          <t>Setup Fee</t>
        </is>
      </c>
      <c r="E1" s="1" t="inlineStr">
        <is>
          <t>Monthly Price</t>
        </is>
      </c>
      <c r="F1" s="1" t="inlineStr">
        <is>
          <t>Leads/mo</t>
        </is>
      </c>
      <c r="G1" s="1" t="inlineStr">
        <is>
          <t>Emails/mo</t>
        </is>
      </c>
      <c r="H1" s="1" t="inlineStr">
        <is>
          <t>SMS/mo</t>
        </is>
      </c>
      <c r="I1" s="1" t="inlineStr">
        <is>
          <t>WhatsApp/mo</t>
        </is>
      </c>
      <c r="J1" s="1" t="inlineStr">
        <is>
          <t>Funnels</t>
        </is>
      </c>
      <c r="K1" s="1" t="inlineStr">
        <is>
          <t>Lead Magnets</t>
        </is>
      </c>
      <c r="L1" s="1" t="inlineStr">
        <is>
          <t>Operators</t>
        </is>
      </c>
      <c r="M1" s="1" t="inlineStr">
        <is>
          <t>Experiments</t>
        </is>
      </c>
      <c r="N1" s="1" t="inlineStr">
        <is>
          <t>Integrations</t>
        </is>
      </c>
      <c r="O1" s="1" t="inlineStr">
        <is>
          <t>Features</t>
        </is>
      </c>
      <c r="P1" s="1" t="inlineStr">
        <is>
          <t>Ideal For</t>
        </is>
      </c>
    </row>
    <row r="2">
      <c r="A2" s="2" t="inlineStr">
        <is>
          <t>managed-starter</t>
        </is>
      </c>
      <c r="B2" s="2" t="inlineStr">
        <is>
          <t>Managed Starter</t>
        </is>
      </c>
      <c r="C2" s="2" t="inlineStr">
        <is>
          <t>Managed</t>
        </is>
      </c>
      <c r="D2" s="2" t="inlineStr">
        <is>
          <t>$3,500</t>
        </is>
      </c>
      <c r="E2" s="2" t="inlineStr">
        <is>
          <t>$2,000</t>
        </is>
      </c>
      <c r="F2" s="2" t="inlineStr">
        <is>
          <t>500</t>
        </is>
      </c>
      <c r="G2" s="2" t="inlineStr">
        <is>
          <t>5,000</t>
        </is>
      </c>
      <c r="H2" s="2" t="inlineStr">
        <is>
          <t>500</t>
        </is>
      </c>
      <c r="I2" s="2" t="inlineStr">
        <is>
          <t>200</t>
        </is>
      </c>
      <c r="J2" s="2" t="inlineStr">
        <is>
          <t>3</t>
        </is>
      </c>
      <c r="K2" s="2" t="inlineStr">
        <is>
          <t>10</t>
        </is>
      </c>
      <c r="L2" s="2" t="inlineStr">
        <is>
          <t>2</t>
        </is>
      </c>
      <c r="M2" s="2" t="inlineStr">
        <is>
          <t>2</t>
        </is>
      </c>
      <c r="N2" s="2" t="inlineStr">
        <is>
          <t>5</t>
        </is>
      </c>
      <c r="O2" s="2" t="inlineStr">
        <is>
          <t>Lead capture, Scoring, Email nurture, Basic dashboard, 1 niche</t>
        </is>
      </c>
      <c r="P2" s="2" t="inlineStr">
        <is>
          <t>Solo operators starting with 1 client niche</t>
        </is>
      </c>
    </row>
    <row r="3">
      <c r="A3" s="2" t="inlineStr">
        <is>
          <t>managed-growth</t>
        </is>
      </c>
      <c r="B3" s="2" t="inlineStr">
        <is>
          <t>Managed Growth</t>
        </is>
      </c>
      <c r="C3" s="2" t="inlineStr">
        <is>
          <t>Managed</t>
        </is>
      </c>
      <c r="D3" s="2" t="inlineStr">
        <is>
          <t>$7,500</t>
        </is>
      </c>
      <c r="E3" s="2" t="inlineStr">
        <is>
          <t>$5,000</t>
        </is>
      </c>
      <c r="F3" s="2" t="inlineStr">
        <is>
          <t>2,000</t>
        </is>
      </c>
      <c r="G3" s="2" t="inlineStr">
        <is>
          <t>25,000</t>
        </is>
      </c>
      <c r="H3" s="2" t="inlineStr">
        <is>
          <t>2,000</t>
        </is>
      </c>
      <c r="I3" s="2" t="inlineStr">
        <is>
          <t>1,000</t>
        </is>
      </c>
      <c r="J3" s="2" t="inlineStr">
        <is>
          <t>10</t>
        </is>
      </c>
      <c r="K3" s="2" t="inlineStr">
        <is>
          <t>50</t>
        </is>
      </c>
      <c r="L3" s="2" t="inlineStr">
        <is>
          <t>5</t>
        </is>
      </c>
      <c r="M3" s="2" t="inlineStr">
        <is>
          <t>10</t>
        </is>
      </c>
      <c r="N3" s="2" t="inlineStr">
        <is>
          <t>15</t>
        </is>
      </c>
      <c r="O3" s="2" t="inlineStr">
        <is>
          <t>Everything in Starter + Multi-funnel, A/B testing, Attribution, WhatsApp, SMS, 3 niches</t>
        </is>
      </c>
      <c r="P3" s="2" t="inlineStr">
        <is>
          <t>Growing agencies with 5-15 clients</t>
        </is>
      </c>
    </row>
    <row r="4">
      <c r="A4" s="2" t="inlineStr">
        <is>
          <t>managed-enterprise</t>
        </is>
      </c>
      <c r="B4" s="2" t="inlineStr">
        <is>
          <t>Managed Enterprise</t>
        </is>
      </c>
      <c r="C4" s="2" t="inlineStr">
        <is>
          <t>Managed</t>
        </is>
      </c>
      <c r="D4" s="2" t="inlineStr">
        <is>
          <t>$15,000</t>
        </is>
      </c>
      <c r="E4" s="2" t="inlineStr">
        <is>
          <t>$10,000</t>
        </is>
      </c>
      <c r="F4" s="2" t="inlineStr">
        <is>
          <t>Unlimited</t>
        </is>
      </c>
      <c r="G4" s="2" t="inlineStr">
        <is>
          <t>Unlimited</t>
        </is>
      </c>
      <c r="H4" s="2" t="inlineStr">
        <is>
          <t>Unlimited</t>
        </is>
      </c>
      <c r="I4" s="2" t="inlineStr">
        <is>
          <t>Unlimited</t>
        </is>
      </c>
      <c r="J4" s="2" t="inlineStr">
        <is>
          <t>Unlimited</t>
        </is>
      </c>
      <c r="K4" s="2" t="inlineStr">
        <is>
          <t>Unlimited</t>
        </is>
      </c>
      <c r="L4" s="2" t="inlineStr">
        <is>
          <t>Unlimited</t>
        </is>
      </c>
      <c r="M4" s="2" t="inlineStr">
        <is>
          <t>Unlimited</t>
        </is>
      </c>
      <c r="N4" s="2" t="inlineStr">
        <is>
          <t>Unlimited</t>
        </is>
      </c>
      <c r="O4" s="2" t="inlineStr">
        <is>
          <t>Everything in Growth + Voice AI, Custom integrations, Dedicated support, Unlimited niches</t>
        </is>
      </c>
      <c r="P4" s="2" t="inlineStr">
        <is>
          <t>Large agencies, franchises, enterprises</t>
        </is>
      </c>
    </row>
    <row r="5">
      <c r="A5" s="2" t="inlineStr">
        <is>
          <t>whitelabel-starter</t>
        </is>
      </c>
      <c r="B5" s="2" t="inlineStr">
        <is>
          <t>White-Label Starter</t>
        </is>
      </c>
      <c r="C5" s="2" t="inlineStr">
        <is>
          <t>White-Label</t>
        </is>
      </c>
      <c r="D5" s="2" t="inlineStr">
        <is>
          <t>$0</t>
        </is>
      </c>
      <c r="E5" s="2" t="inlineStr">
        <is>
          <t>$99</t>
        </is>
      </c>
      <c r="F5" s="2" t="inlineStr">
        <is>
          <t>100</t>
        </is>
      </c>
      <c r="G5" s="2" t="inlineStr">
        <is>
          <t>1,000</t>
        </is>
      </c>
      <c r="H5" s="2" t="inlineStr">
        <is>
          <t>100</t>
        </is>
      </c>
      <c r="I5" s="2" t="inlineStr">
        <is>
          <t>50</t>
        </is>
      </c>
      <c r="J5" s="2" t="inlineStr">
        <is>
          <t>2</t>
        </is>
      </c>
      <c r="K5" s="2" t="inlineStr">
        <is>
          <t>5</t>
        </is>
      </c>
      <c r="L5" s="2" t="inlineStr">
        <is>
          <t>1</t>
        </is>
      </c>
      <c r="M5" s="2" t="inlineStr">
        <is>
          <t>1</t>
        </is>
      </c>
      <c r="N5" s="2" t="inlineStr">
        <is>
          <t>3</t>
        </is>
      </c>
      <c r="O5" s="2" t="inlineStr">
        <is>
          <t>Lead capture, Basic scoring, Email nurture, 1 niche</t>
        </is>
      </c>
      <c r="P5" s="2" t="inlineStr">
        <is>
          <t>Solo founders testing product-market fit</t>
        </is>
      </c>
    </row>
    <row r="6">
      <c r="A6" s="2" t="inlineStr">
        <is>
          <t>whitelabel-growth</t>
        </is>
      </c>
      <c r="B6" s="2" t="inlineStr">
        <is>
          <t>White-Label Growth</t>
        </is>
      </c>
      <c r="C6" s="2" t="inlineStr">
        <is>
          <t>White-Label</t>
        </is>
      </c>
      <c r="D6" s="2" t="inlineStr">
        <is>
          <t>$0</t>
        </is>
      </c>
      <c r="E6" s="2" t="inlineStr">
        <is>
          <t>$249</t>
        </is>
      </c>
      <c r="F6" s="2" t="inlineStr">
        <is>
          <t>500</t>
        </is>
      </c>
      <c r="G6" s="2" t="inlineStr">
        <is>
          <t>5,000</t>
        </is>
      </c>
      <c r="H6" s="2" t="inlineStr">
        <is>
          <t>500</t>
        </is>
      </c>
      <c r="I6" s="2" t="inlineStr">
        <is>
          <t>200</t>
        </is>
      </c>
      <c r="J6" s="2" t="inlineStr">
        <is>
          <t>5</t>
        </is>
      </c>
      <c r="K6" s="2" t="inlineStr">
        <is>
          <t>25</t>
        </is>
      </c>
      <c r="L6" s="2" t="inlineStr">
        <is>
          <t>3</t>
        </is>
      </c>
      <c r="M6" s="2" t="inlineStr">
        <is>
          <t>5</t>
        </is>
      </c>
      <c r="N6" s="2" t="inlineStr">
        <is>
          <t>10</t>
        </is>
      </c>
      <c r="O6" s="2" t="inlineStr">
        <is>
          <t>Everything in Starter + A/B testing, Attribution, 3 niches, WhatsApp</t>
        </is>
      </c>
      <c r="P6" s="2" t="inlineStr">
        <is>
          <t>Growing SaaS builders with paying users</t>
        </is>
      </c>
    </row>
    <row r="7">
      <c r="A7" s="2" t="inlineStr">
        <is>
          <t>whitelabel-enterprise</t>
        </is>
      </c>
      <c r="B7" s="2" t="inlineStr">
        <is>
          <t>White-Label Enterprise</t>
        </is>
      </c>
      <c r="C7" s="2" t="inlineStr">
        <is>
          <t>White-Label</t>
        </is>
      </c>
      <c r="D7" s="2" t="inlineStr">
        <is>
          <t>$0</t>
        </is>
      </c>
      <c r="E7" s="2" t="inlineStr">
        <is>
          <t>$499</t>
        </is>
      </c>
      <c r="F7" s="2" t="inlineStr">
        <is>
          <t>2,000</t>
        </is>
      </c>
      <c r="G7" s="2" t="inlineStr">
        <is>
          <t>25,000</t>
        </is>
      </c>
      <c r="H7" s="2" t="inlineStr">
        <is>
          <t>2,000</t>
        </is>
      </c>
      <c r="I7" s="2" t="inlineStr">
        <is>
          <t>1,000</t>
        </is>
      </c>
      <c r="J7" s="2" t="inlineStr">
        <is>
          <t>Unlimited</t>
        </is>
      </c>
      <c r="K7" s="2" t="inlineStr">
        <is>
          <t>Unlimited</t>
        </is>
      </c>
      <c r="L7" s="2" t="inlineStr">
        <is>
          <t>10</t>
        </is>
      </c>
      <c r="M7" s="2" t="inlineStr">
        <is>
          <t>Unlimited</t>
        </is>
      </c>
      <c r="N7" s="2" t="inlineStr">
        <is>
          <t>Unlimited</t>
        </is>
      </c>
      <c r="O7" s="2" t="inlineStr">
        <is>
          <t>Everything in Growth + Unlimited funnels, Marketplace access, Priority support</t>
        </is>
      </c>
      <c r="P7" s="2" t="inlineStr">
        <is>
          <t>Scaling SaaS platforms with 100+ users</t>
        </is>
      </c>
    </row>
    <row r="8">
      <c r="A8" s="2" t="inlineStr">
        <is>
          <t>implementation</t>
        </is>
      </c>
      <c r="B8" s="2" t="inlineStr">
        <is>
          <t>Implementation + Retainer</t>
        </is>
      </c>
      <c r="C8" s="2" t="inlineStr">
        <is>
          <t>Implementation</t>
        </is>
      </c>
      <c r="D8" s="2" t="inlineStr">
        <is>
          <t>Custom</t>
        </is>
      </c>
      <c r="E8" s="2" t="inlineStr">
        <is>
          <t>Custom</t>
        </is>
      </c>
      <c r="F8" s="2" t="inlineStr">
        <is>
          <t>Custom</t>
        </is>
      </c>
      <c r="G8" s="2" t="inlineStr">
        <is>
          <t>Custom</t>
        </is>
      </c>
      <c r="H8" s="2" t="inlineStr">
        <is>
          <t>Custom</t>
        </is>
      </c>
      <c r="I8" s="2" t="inlineStr">
        <is>
          <t>Custom</t>
        </is>
      </c>
      <c r="J8" s="2" t="inlineStr">
        <is>
          <t>Custom</t>
        </is>
      </c>
      <c r="K8" s="2" t="inlineStr">
        <is>
          <t>Custom</t>
        </is>
      </c>
      <c r="L8" s="2" t="inlineStr">
        <is>
          <t>Custom</t>
        </is>
      </c>
      <c r="M8" s="2" t="inlineStr">
        <is>
          <t>Custom</t>
        </is>
      </c>
      <c r="N8" s="2" t="inlineStr">
        <is>
          <t>Custom</t>
        </is>
      </c>
      <c r="O8" s="2" t="inlineStr">
        <is>
          <t>Fully custom implementation with ongoing retainer</t>
        </is>
      </c>
      <c r="P8" s="2" t="inlineStr">
        <is>
          <t>Consultants &amp; implementers serving clients</t>
        </is>
      </c>
    </row>
    <row r="9">
      <c r="A9" s="2" t="inlineStr">
        <is>
          <t>directory</t>
        </is>
      </c>
      <c r="B9" s="2" t="inlineStr">
        <is>
          <t>Directory / Marketplace</t>
        </is>
      </c>
      <c r="C9" s="2" t="inlineStr">
        <is>
          <t>Directory</t>
        </is>
      </c>
      <c r="D9" s="2" t="inlineStr">
        <is>
          <t>Custom</t>
        </is>
      </c>
      <c r="E9" s="2" t="inlineStr">
        <is>
          <t>Custom</t>
        </is>
      </c>
      <c r="F9" s="2" t="inlineStr">
        <is>
          <t>Custom</t>
        </is>
      </c>
      <c r="G9" s="2" t="inlineStr">
        <is>
          <t>Custom</t>
        </is>
      </c>
      <c r="H9" s="2" t="inlineStr">
        <is>
          <t>Custom</t>
        </is>
      </c>
      <c r="I9" s="2" t="inlineStr">
        <is>
          <t>Custom</t>
        </is>
      </c>
      <c r="J9" s="2" t="inlineStr">
        <is>
          <t>Custom</t>
        </is>
      </c>
      <c r="K9" s="2" t="inlineStr">
        <is>
          <t>Custom</t>
        </is>
      </c>
      <c r="L9" s="2" t="inlineStr">
        <is>
          <t>Custom</t>
        </is>
      </c>
      <c r="M9" s="2" t="inlineStr">
        <is>
          <t>Custom</t>
        </is>
      </c>
      <c r="N9" s="2" t="inlineStr">
        <is>
          <t>Custom</t>
        </is>
      </c>
      <c r="O9" s="2" t="inlineStr">
        <is>
          <t>Lead marketplace + directory listing</t>
        </is>
      </c>
      <c r="P9" s="2" t="inlineStr">
        <is>
          <t>Lead gen companies buying/selling leads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s>
  <sheetData>
    <row r="1">
      <c r="A1" s="1" t="inlineStr">
        <is>
          <t>Niche / Service</t>
        </is>
      </c>
      <c r="B1" s="1" t="inlineStr">
        <is>
          <t>Primary Color (Hex)</t>
        </is>
      </c>
      <c r="C1" s="1" t="inlineStr">
        <is>
          <t>Secondary Color (Hex)</t>
        </is>
      </c>
      <c r="D1" s="1" t="inlineStr">
        <is>
          <t>Accent Color (Hex)</t>
        </is>
      </c>
      <c r="E1" s="1" t="inlineStr">
        <is>
          <t>Background</t>
        </is>
      </c>
      <c r="F1" s="1" t="inlineStr">
        <is>
          <t>Text Color</t>
        </is>
      </c>
      <c r="G1" s="1" t="inlineStr">
        <is>
          <t>Heading Font</t>
        </is>
      </c>
      <c r="H1" s="1" t="inlineStr">
        <is>
          <t>Body Font</t>
        </is>
      </c>
      <c r="I1" s="1" t="inlineStr">
        <is>
          <t>Font Size Scale</t>
        </is>
      </c>
      <c r="J1" s="1" t="inlineStr">
        <is>
          <t>Border Radius</t>
        </is>
      </c>
      <c r="K1" s="1" t="inlineStr">
        <is>
          <t>Shadow Style</t>
        </is>
      </c>
      <c r="L1" s="1" t="inlineStr">
        <is>
          <t>Button Style</t>
        </is>
      </c>
      <c r="M1" s="1" t="inlineStr">
        <is>
          <t>Icon Style</t>
        </is>
      </c>
      <c r="N1" s="1" t="inlineStr">
        <is>
          <t>Mood / Tone</t>
        </is>
      </c>
      <c r="O1" s="1" t="inlineStr">
        <is>
          <t>Photography Style</t>
        </is>
      </c>
      <c r="P1" s="1" t="inlineStr">
        <is>
          <t>Illustration Style</t>
        </is>
      </c>
      <c r="Q1" s="1" t="inlineStr">
        <is>
          <t>Hero Layout</t>
        </is>
      </c>
      <c r="R1" s="1" t="inlineStr">
        <is>
          <t>Card Style</t>
        </is>
      </c>
      <c r="S1" s="1" t="inlineStr">
        <is>
          <t>CTA Button Color</t>
        </is>
      </c>
      <c r="T1" s="1" t="inlineStr">
        <is>
          <t>CTA Button Text</t>
        </is>
      </c>
    </row>
    <row r="2">
      <c r="A2" s="2" t="inlineStr">
        <is>
          <t>Service Businesses</t>
        </is>
      </c>
      <c r="B2" s="2" t="inlineStr">
        <is>
          <t>#1B4332</t>
        </is>
      </c>
      <c r="C2" s="2" t="inlineStr">
        <is>
          <t>#2D6A4F</t>
        </is>
      </c>
      <c r="D2" s="2" t="inlineStr">
        <is>
          <t>#C4632D</t>
        </is>
      </c>
      <c r="E2" s="2" t="inlineStr">
        <is>
          <t>#FAFAF8</t>
        </is>
      </c>
      <c r="F2" s="2" t="inlineStr">
        <is>
          <t>#14211D</t>
        </is>
      </c>
      <c r="G2" s="2" t="inlineStr">
        <is>
          <t>Inter</t>
        </is>
      </c>
      <c r="H2" s="2" t="inlineStr">
        <is>
          <t>Inter</t>
        </is>
      </c>
      <c r="I2" s="2" t="inlineStr">
        <is>
          <t>16/20/28/40</t>
        </is>
      </c>
      <c r="J2" s="2" t="inlineStr">
        <is>
          <t>12px</t>
        </is>
      </c>
      <c r="K2" s="2" t="inlineStr">
        <is>
          <t>0 2px 8px rgba(0,0,0,0.06)</t>
        </is>
      </c>
      <c r="L2" s="2" t="inlineStr">
        <is>
          <t>Solid, rounded corners</t>
        </is>
      </c>
      <c r="M2" s="2" t="inlineStr">
        <is>
          <t>Line icons, consistent weight</t>
        </is>
      </c>
      <c r="N2" s="2" t="inlineStr">
        <is>
          <t>Professional, Trustworthy, Local</t>
        </is>
      </c>
      <c r="O2" s="2" t="inlineStr">
        <is>
          <t>Real people in work settings</t>
        </is>
      </c>
      <c r="P2" s="2" t="inlineStr">
        <is>
          <t>None — photo-first</t>
        </is>
      </c>
      <c r="Q2" s="2" t="inlineStr">
        <is>
          <t>Split hero (copy + image)</t>
        </is>
      </c>
      <c r="R2" s="2" t="inlineStr">
        <is>
          <t>Subtle border, padding 24px</t>
        </is>
      </c>
      <c r="S2" s="2" t="inlineStr">
        <is>
          <t>#C4632D</t>
        </is>
      </c>
      <c r="T2" s="2" t="inlineStr">
        <is>
          <t>Get Your Free Assessment</t>
        </is>
      </c>
    </row>
    <row r="3">
      <c r="A3" s="2" t="inlineStr">
        <is>
          <t>Legal</t>
        </is>
      </c>
      <c r="B3" s="2" t="inlineStr">
        <is>
          <t>#14213D</t>
        </is>
      </c>
      <c r="C3" s="2" t="inlineStr">
        <is>
          <t>#264653</t>
        </is>
      </c>
      <c r="D3" s="2" t="inlineStr">
        <is>
          <t>#E9C46A</t>
        </is>
      </c>
      <c r="E3" s="2" t="inlineStr">
        <is>
          <t>#FAFAF8</t>
        </is>
      </c>
      <c r="F3" s="2" t="inlineStr">
        <is>
          <t>#14211D</t>
        </is>
      </c>
      <c r="G3" s="2" t="inlineStr">
        <is>
          <t>Playfair Display</t>
        </is>
      </c>
      <c r="H3" s="2" t="inlineStr">
        <is>
          <t>Lato</t>
        </is>
      </c>
      <c r="I3" s="2" t="inlineStr">
        <is>
          <t>16/20/28/40</t>
        </is>
      </c>
      <c r="J3" s="2" t="inlineStr">
        <is>
          <t>8px</t>
        </is>
      </c>
      <c r="K3" s="2" t="inlineStr">
        <is>
          <t>0 1px 4px rgba(0,0,0,0.08)</t>
        </is>
      </c>
      <c r="L3" s="2" t="inlineStr">
        <is>
          <t>Solid, sharp corners</t>
        </is>
      </c>
      <c r="M3" s="2" t="inlineStr">
        <is>
          <t>Minimal line icons</t>
        </is>
      </c>
      <c r="N3" s="2" t="inlineStr">
        <is>
          <t>Authoritative, Precise, Trustworthy</t>
        </is>
      </c>
      <c r="O3" s="2" t="inlineStr">
        <is>
          <t>Professional headshots, offices</t>
        </is>
      </c>
      <c r="P3" s="2" t="inlineStr">
        <is>
          <t>None — photo-first</t>
        </is>
      </c>
      <c r="Q3" s="2" t="inlineStr">
        <is>
          <t>Full-width hero with overlay</t>
        </is>
      </c>
      <c r="R3" s="2" t="inlineStr">
        <is>
          <t>Clean borders, 20px padding</t>
        </is>
      </c>
      <c r="S3" s="2" t="inlineStr">
        <is>
          <t>#E9C46A</t>
        </is>
      </c>
      <c r="T3" s="2" t="inlineStr">
        <is>
          <t>Get Your Intake Assessment</t>
        </is>
      </c>
    </row>
    <row r="4">
      <c r="A4" s="2" t="inlineStr">
        <is>
          <t>Healthcare</t>
        </is>
      </c>
      <c r="B4" s="2" t="inlineStr">
        <is>
          <t>#2A9D8F</t>
        </is>
      </c>
      <c r="C4" s="2" t="inlineStr">
        <is>
          <t>#264653</t>
        </is>
      </c>
      <c r="D4" s="2" t="inlineStr">
        <is>
          <t>#E76F51</t>
        </is>
      </c>
      <c r="E4" s="2" t="inlineStr">
        <is>
          <t>#FAFAF8</t>
        </is>
      </c>
      <c r="F4" s="2" t="inlineStr">
        <is>
          <t>#14211D</t>
        </is>
      </c>
      <c r="G4" s="2" t="inlineStr">
        <is>
          <t>Inter</t>
        </is>
      </c>
      <c r="H4" s="2" t="inlineStr">
        <is>
          <t>Open Sans</t>
        </is>
      </c>
      <c r="I4" s="2" t="inlineStr">
        <is>
          <t>16/20/28/40</t>
        </is>
      </c>
      <c r="J4" s="2" t="inlineStr">
        <is>
          <t>14px</t>
        </is>
      </c>
      <c r="K4" s="2" t="inlineStr">
        <is>
          <t>0 2px 8px rgba(0,0,0,0.05)</t>
        </is>
      </c>
      <c r="L4" s="2" t="inlineStr">
        <is>
          <t>Soft, rounded corners</t>
        </is>
      </c>
      <c r="M4" s="2" t="inlineStr">
        <is>
          <t>Outlined medical icons</t>
        </is>
      </c>
      <c r="N4" s="2" t="inlineStr">
        <is>
          <t>Caring, Clean, Professional</t>
        </is>
      </c>
      <c r="O4" s="2" t="inlineStr">
        <is>
          <t>Bright clinical settings, smiling staff</t>
        </is>
      </c>
      <c r="P4" s="2" t="inlineStr">
        <is>
          <t>Soft illustrations for processes</t>
        </is>
      </c>
      <c r="Q4" s="2" t="inlineStr">
        <is>
          <t>Split hero with stethoscope/scheduling</t>
        </is>
      </c>
      <c r="R4" s="2" t="inlineStr">
        <is>
          <t>Rounded card, 24px padding</t>
        </is>
      </c>
      <c r="S4" s="2" t="inlineStr">
        <is>
          <t>#2A9D8F</t>
        </is>
      </c>
      <c r="T4" s="2" t="inlineStr">
        <is>
          <t>Get Your Practice Assessment</t>
        </is>
      </c>
    </row>
    <row r="5">
      <c r="A5" s="2" t="inlineStr">
        <is>
          <t>Technology / SaaS</t>
        </is>
      </c>
      <c r="B5" s="2" t="inlineStr">
        <is>
          <t>#0A1628</t>
        </is>
      </c>
      <c r="C5" s="2" t="inlineStr">
        <is>
          <t>#1E3A5F</t>
        </is>
      </c>
      <c r="D5" s="2" t="inlineStr">
        <is>
          <t>#00D4AA</t>
        </is>
      </c>
      <c r="E5" s="2" t="inlineStr">
        <is>
          <t>#0A1628</t>
        </is>
      </c>
      <c r="F5" s="2" t="inlineStr">
        <is>
          <t>#E8E8E8</t>
        </is>
      </c>
      <c r="G5" s="2" t="inlineStr">
        <is>
          <t>Space Grotesk</t>
        </is>
      </c>
      <c r="H5" s="2" t="inlineStr">
        <is>
          <t>Inter</t>
        </is>
      </c>
      <c r="I5" s="2" t="inlineStr">
        <is>
          <t>16/20/28/42</t>
        </is>
      </c>
      <c r="J5" s="2" t="inlineStr">
        <is>
          <t>10px</t>
        </is>
      </c>
      <c r="K5" s="2" t="inlineStr">
        <is>
          <t>0 4px 16px rgba(0,0,0,0.2)</t>
        </is>
      </c>
      <c r="L5" s="2" t="inlineStr">
        <is>
          <t>Gradient or glass-morphism</t>
        </is>
      </c>
      <c r="M5" s="2" t="inlineStr">
        <is>
          <t>Outlined tech icons</t>
        </is>
      </c>
      <c r="N5" s="2" t="inlineStr">
        <is>
          <t>Modern, Technical, Data-Driven</t>
        </is>
      </c>
      <c r="O5" s="2" t="inlineStr">
        <is>
          <t>Product screenshots, dashboards</t>
        </is>
      </c>
      <c r="P5" s="2" t="inlineStr">
        <is>
          <t>Isometric tech illustrations</t>
        </is>
      </c>
      <c r="Q5" s="2" t="inlineStr">
        <is>
          <t>Dark hero with product mockup</t>
        </is>
      </c>
      <c r="R5" s="2" t="inlineStr">
        <is>
          <t>Dark card, glass effect, 24px</t>
        </is>
      </c>
      <c r="S5" s="2" t="inlineStr">
        <is>
          <t>#00D4AA</t>
        </is>
      </c>
      <c r="T5" s="2" t="inlineStr">
        <is>
          <t>Start Free Trial</t>
        </is>
      </c>
    </row>
    <row r="6">
      <c r="A6" s="2" t="inlineStr">
        <is>
          <t>Construction</t>
        </is>
      </c>
      <c r="B6" s="2" t="inlineStr">
        <is>
          <t>#E76F51</t>
        </is>
      </c>
      <c r="C6" s="2" t="inlineStr">
        <is>
          <t>#264653</t>
        </is>
      </c>
      <c r="D6" s="2" t="inlineStr">
        <is>
          <t>#F4A261</t>
        </is>
      </c>
      <c r="E6" s="2" t="inlineStr">
        <is>
          <t>#FAFAF8</t>
        </is>
      </c>
      <c r="F6" s="2" t="inlineStr">
        <is>
          <t>#14211D</t>
        </is>
      </c>
      <c r="G6" s="2" t="inlineStr">
        <is>
          <t>Montserrat</t>
        </is>
      </c>
      <c r="H6" s="2" t="inlineStr">
        <is>
          <t>Open Sans</t>
        </is>
      </c>
      <c r="I6" s="2" t="inlineStr">
        <is>
          <t>16/20/28/40</t>
        </is>
      </c>
      <c r="J6" s="2" t="inlineStr">
        <is>
          <t>8px</t>
        </is>
      </c>
      <c r="K6" s="2" t="inlineStr">
        <is>
          <t>0 2px 8px rgba(0,0,0,0.08)</t>
        </is>
      </c>
      <c r="L6" s="2" t="inlineStr">
        <is>
          <t>Solid, industrial feel</t>
        </is>
      </c>
      <c r="M6" s="2" t="inlineStr">
        <is>
          <t>Bold construction icons</t>
        </is>
      </c>
      <c r="N6" s="2" t="inlineStr">
        <is>
          <t>Rugged, Reliable, Professional</t>
        </is>
      </c>
      <c r="O6" s="2" t="inlineStr">
        <is>
          <t>Job sites, crews, equipment</t>
        </is>
      </c>
      <c r="P6" s="2" t="inlineStr">
        <is>
          <t>Blueprint-style diagrams</t>
        </is>
      </c>
      <c r="Q6" s="2" t="inlineStr">
        <is>
          <t>Full-width hero with project imagery</t>
        </is>
      </c>
      <c r="R6" s="2" t="inlineStr">
        <is>
          <t>Bordered card, 20px padding</t>
        </is>
      </c>
      <c r="S6" s="2" t="inlineStr">
        <is>
          <t>#E76F51</t>
        </is>
      </c>
      <c r="T6" s="2" t="inlineStr">
        <is>
          <t>Get Your Operations Assessment</t>
        </is>
      </c>
    </row>
    <row r="7">
      <c r="A7" s="2" t="inlineStr">
        <is>
          <t>Real Estate</t>
        </is>
      </c>
      <c r="B7" s="2" t="inlineStr">
        <is>
          <t>#C4632D</t>
        </is>
      </c>
      <c r="C7" s="2" t="inlineStr">
        <is>
          <t>#1B4332</t>
        </is>
      </c>
      <c r="D7" s="2" t="inlineStr">
        <is>
          <t>#F4A261</t>
        </is>
      </c>
      <c r="E7" s="2" t="inlineStr">
        <is>
          <t>#FAFAF8</t>
        </is>
      </c>
      <c r="F7" s="2" t="inlineStr">
        <is>
          <t>#14211D</t>
        </is>
      </c>
      <c r="G7" s="2" t="inlineStr">
        <is>
          <t>Poppins</t>
        </is>
      </c>
      <c r="H7" s="2" t="inlineStr">
        <is>
          <t>Lato</t>
        </is>
      </c>
      <c r="I7" s="2" t="inlineStr">
        <is>
          <t>16/20/28/40</t>
        </is>
      </c>
      <c r="J7" s="2" t="inlineStr">
        <is>
          <t>12px</t>
        </is>
      </c>
      <c r="K7" s="2" t="inlineStr">
        <is>
          <t>0 2px 12px rgba(0,0,0,0.06)</t>
        </is>
      </c>
      <c r="L7" s="2" t="inlineStr">
        <is>
          <t>Elevated, shadowed cards</t>
        </is>
      </c>
      <c r="M7" s="2" t="inlineStr">
        <is>
          <t>Property/home icons</t>
        </is>
      </c>
      <c r="N7" s="2" t="inlineStr">
        <is>
          <t>Polished, Aspirational, Local</t>
        </is>
      </c>
      <c r="O7" s="2" t="inlineStr">
        <is>
          <t>Beautiful homes, neighborhoods</t>
        </is>
      </c>
      <c r="P7" s="2" t="inlineStr">
        <is>
          <t>Property-style illustrations</t>
        </is>
      </c>
      <c r="Q7" s="2" t="inlineStr">
        <is>
          <t>Split hero with property image</t>
        </is>
      </c>
      <c r="R7" s="2" t="inlineStr">
        <is>
          <t>Photo card with overlay, 20px</t>
        </is>
      </c>
      <c r="S7" s="2" t="inlineStr">
        <is>
          <t>#C4632D</t>
        </is>
      </c>
      <c r="T7" s="2" t="inlineStr">
        <is>
          <t>Get Your Lead Assessment</t>
        </is>
      </c>
    </row>
    <row r="8">
      <c r="A8" s="2" t="inlineStr">
        <is>
          <t>Education</t>
        </is>
      </c>
      <c r="B8" s="2" t="inlineStr">
        <is>
          <t>#1D3557</t>
        </is>
      </c>
      <c r="C8" s="2" t="inlineStr">
        <is>
          <t>#457B9D</t>
        </is>
      </c>
      <c r="D8" s="2" t="inlineStr">
        <is>
          <t>#A8DADC</t>
        </is>
      </c>
      <c r="E8" s="2" t="inlineStr">
        <is>
          <t>#FAFAF8</t>
        </is>
      </c>
      <c r="F8" s="2" t="inlineStr">
        <is>
          <t>#14211D</t>
        </is>
      </c>
      <c r="G8" s="2" t="inlineStr">
        <is>
          <t>Merriweather</t>
        </is>
      </c>
      <c r="H8" s="2" t="inlineStr">
        <is>
          <t>Open Sans</t>
        </is>
      </c>
      <c r="I8" s="2" t="inlineStr">
        <is>
          <t>16/20/28/40</t>
        </is>
      </c>
      <c r="J8" s="2" t="inlineStr">
        <is>
          <t>12px</t>
        </is>
      </c>
      <c r="K8" s="2" t="inlineStr">
        <is>
          <t>0 2px 8px rgba(0,0,0,0.05)</t>
        </is>
      </c>
      <c r="L8" s="2" t="inlineStr">
        <is>
          <t>Warm, rounded corners</t>
        </is>
      </c>
      <c r="M8" s="2" t="inlineStr">
        <is>
          <t>Academic/learning icons</t>
        </is>
      </c>
      <c r="N8" s="2" t="inlineStr">
        <is>
          <t>Inspiring, Academic, Trustworthy</t>
        </is>
      </c>
      <c r="O8" s="2" t="inlineStr">
        <is>
          <t>Students, classrooms, campuses</t>
        </is>
      </c>
      <c r="P8" s="2" t="inlineStr">
        <is>
          <t>Friendly educational illustrations</t>
        </is>
      </c>
      <c r="Q8" s="2" t="inlineStr">
        <is>
          <t>Split hero with student imagery</t>
        </is>
      </c>
      <c r="R8" s="2" t="inlineStr">
        <is>
          <t>Rounded card, 24px padding</t>
        </is>
      </c>
      <c r="S8" s="2" t="inlineStr">
        <is>
          <t>#457B9D</t>
        </is>
      </c>
      <c r="T8" s="2" t="inlineStr">
        <is>
          <t>Get Your Enrollment Assessment</t>
        </is>
      </c>
    </row>
    <row r="9">
      <c r="A9" s="2" t="inlineStr">
        <is>
          <t>Finance</t>
        </is>
      </c>
      <c r="B9" s="2" t="inlineStr">
        <is>
          <t>#1B263B</t>
        </is>
      </c>
      <c r="C9" s="2" t="inlineStr">
        <is>
          <t>#415A77</t>
        </is>
      </c>
      <c r="D9" s="2" t="inlineStr">
        <is>
          <t>#E9C46A</t>
        </is>
      </c>
      <c r="E9" s="2" t="inlineStr">
        <is>
          <t>#FAFAF8</t>
        </is>
      </c>
      <c r="F9" s="2" t="inlineStr">
        <is>
          <t>#14211D</t>
        </is>
      </c>
      <c r="G9" s="2" t="inlineStr">
        <is>
          <t>Playfair Display</t>
        </is>
      </c>
      <c r="H9" s="2" t="inlineStr">
        <is>
          <t>Source Sans Pro</t>
        </is>
      </c>
      <c r="I9" s="2" t="inlineStr">
        <is>
          <t>16/20/28/40</t>
        </is>
      </c>
      <c r="J9" s="2" t="inlineStr">
        <is>
          <t>8px</t>
        </is>
      </c>
      <c r="K9" s="2" t="inlineStr">
        <is>
          <t>0 1px 4px rgba(0,0,0,0.08)</t>
        </is>
      </c>
      <c r="L9" s="2" t="inlineStr">
        <is>
          <t>Conservative, clean</t>
        </is>
      </c>
      <c r="M9" s="2" t="inlineStr">
        <is>
          <t>Financial/chart icons</t>
        </is>
      </c>
      <c r="N9" s="2" t="inlineStr">
        <is>
          <t>Conservative, Trustworthy, Premium</t>
        </is>
      </c>
      <c r="O9" s="2" t="inlineStr">
        <is>
          <t>Professional settings, charts</t>
        </is>
      </c>
      <c r="P9" s="2" t="inlineStr">
        <is>
          <t>Minimal data visualizations</t>
        </is>
      </c>
      <c r="Q9" s="2" t="inlineStr">
        <is>
          <t>Split hero with confident professional</t>
        </is>
      </c>
      <c r="R9" s="2" t="inlineStr">
        <is>
          <t>Clean border, 20px padding</t>
        </is>
      </c>
      <c r="S9" s="2" t="inlineStr">
        <is>
          <t>#415A77</t>
        </is>
      </c>
      <c r="T9" s="2" t="inlineStr">
        <is>
          <t>Get Your Practice Assessment</t>
        </is>
      </c>
    </row>
    <row r="10">
      <c r="A10" s="2" t="inlineStr">
        <is>
          <t>Franchise</t>
        </is>
      </c>
      <c r="B10" s="2" t="inlineStr">
        <is>
          <t>#003049</t>
        </is>
      </c>
      <c r="C10" s="2" t="inlineStr">
        <is>
          <t>#D62828</t>
        </is>
      </c>
      <c r="D10" s="2" t="inlineStr">
        <is>
          <t>#F77F00</t>
        </is>
      </c>
      <c r="E10" s="2" t="inlineStr">
        <is>
          <t>#FAFAF8</t>
        </is>
      </c>
      <c r="F10" s="2" t="inlineStr">
        <is>
          <t>#14211D</t>
        </is>
      </c>
      <c r="G10" s="2" t="inlineStr">
        <is>
          <t>Montserrat</t>
        </is>
      </c>
      <c r="H10" s="2" t="inlineStr">
        <is>
          <t>Open Sans</t>
        </is>
      </c>
      <c r="I10" s="2" t="inlineStr">
        <is>
          <t>16/20/28/40</t>
        </is>
      </c>
      <c r="J10" s="2" t="inlineStr">
        <is>
          <t>10px</t>
        </is>
      </c>
      <c r="K10" s="2" t="inlineStr">
        <is>
          <t>0 2px 8px rgba(0,0,0,0.08)</t>
        </is>
      </c>
      <c r="L10" s="2" t="inlineStr">
        <is>
          <t>Bold, branded feel</t>
        </is>
      </c>
      <c r="M10" s="2" t="inlineStr">
        <is>
          <t>Network/location icons</t>
        </is>
      </c>
      <c r="N10" s="2" t="inlineStr">
        <is>
          <t>Corporate, Scalable, Unified</t>
        </is>
      </c>
      <c r="O10" s="2" t="inlineStr">
        <is>
          <t>Multi-location collages</t>
        </is>
      </c>
      <c r="P10" s="2" t="inlineStr">
        <is>
          <t>Map/network diagrams</t>
        </is>
      </c>
      <c r="Q10" s="2" t="inlineStr">
        <is>
          <t>Full-width hero with location map</t>
        </is>
      </c>
      <c r="R10" s="2" t="inlineStr">
        <is>
          <t>Branded card, 20px padding</t>
        </is>
      </c>
      <c r="S10" s="2" t="inlineStr">
        <is>
          <t>#D62828</t>
        </is>
      </c>
      <c r="T10" s="2" t="inlineStr">
        <is>
          <t>Request a Franchise Demo</t>
        </is>
      </c>
    </row>
    <row r="11">
      <c r="A11" s="2" t="inlineStr">
        <is>
          <t>Staffing</t>
        </is>
      </c>
      <c r="B11" s="2" t="inlineStr">
        <is>
          <t>#0077B6</t>
        </is>
      </c>
      <c r="C11" s="2" t="inlineStr">
        <is>
          <t>#023E8A</t>
        </is>
      </c>
      <c r="D11" s="2" t="inlineStr">
        <is>
          <t>#90E0EF</t>
        </is>
      </c>
      <c r="E11" s="2" t="inlineStr">
        <is>
          <t>#FAFAF8</t>
        </is>
      </c>
      <c r="F11" s="2" t="inlineStr">
        <is>
          <t>#14211D</t>
        </is>
      </c>
      <c r="G11" s="2" t="inlineStr">
        <is>
          <t>Poppins</t>
        </is>
      </c>
      <c r="H11" s="2" t="inlineStr">
        <is>
          <t>Open Sans</t>
        </is>
      </c>
      <c r="I11" s="2" t="inlineStr">
        <is>
          <t>16/20/28/40</t>
        </is>
      </c>
      <c r="J11" s="2" t="inlineStr">
        <is>
          <t>12px</t>
        </is>
      </c>
      <c r="K11" s="2" t="inlineStr">
        <is>
          <t>0 2px 8px rgba(0,0,0,0.06)</t>
        </is>
      </c>
      <c r="L11" s="2" t="inlineStr">
        <is>
          <t>Dynamic, rounded</t>
        </is>
      </c>
      <c r="M11" s="2" t="inlineStr">
        <is>
          <t>People/connection icons</t>
        </is>
      </c>
      <c r="N11" s="2" t="inlineStr">
        <is>
          <t>Dynamic, Professional, People-Focused</t>
        </is>
      </c>
      <c r="O11" s="2" t="inlineStr">
        <is>
          <t>Professionals at work</t>
        </is>
      </c>
      <c r="P11" s="2" t="inlineStr">
        <is>
          <t>People-centered illustrations</t>
        </is>
      </c>
      <c r="Q11" s="2" t="inlineStr">
        <is>
          <t>Split hero with team imagery</t>
        </is>
      </c>
      <c r="R11" s="2" t="inlineStr">
        <is>
          <t>Rounded card, 24px padding</t>
        </is>
      </c>
      <c r="S11" s="2" t="inlineStr">
        <is>
          <t>#0077B6</t>
        </is>
      </c>
      <c r="T11" s="2" t="inlineStr">
        <is>
          <t>Get Your Pipeline Assessment</t>
        </is>
      </c>
    </row>
    <row r="12">
      <c r="A12" s="2" t="inlineStr">
        <is>
          <t>Faith/Ministry</t>
        </is>
      </c>
      <c r="B12" s="2" t="inlineStr">
        <is>
          <t>#7B2D8E</t>
        </is>
      </c>
      <c r="C12" s="2" t="inlineStr">
        <is>
          <t>#4A0E5C</t>
        </is>
      </c>
      <c r="D12" s="2" t="inlineStr">
        <is>
          <t>#D4A5E5</t>
        </is>
      </c>
      <c r="E12" s="2" t="inlineStr">
        <is>
          <t>#FAFAF8</t>
        </is>
      </c>
      <c r="F12" s="2" t="inlineStr">
        <is>
          <t>#14211D</t>
        </is>
      </c>
      <c r="G12" s="2" t="inlineStr">
        <is>
          <t>Merriweather</t>
        </is>
      </c>
      <c r="H12" s="2" t="inlineStr">
        <is>
          <t>Open Sans</t>
        </is>
      </c>
      <c r="I12" s="2" t="inlineStr">
        <is>
          <t>16/20/28/40</t>
        </is>
      </c>
      <c r="J12" s="2" t="inlineStr">
        <is>
          <t>14px</t>
        </is>
      </c>
      <c r="K12" s="2" t="inlineStr">
        <is>
          <t>0 2px 8px rgba(0,0,0,0.05)</t>
        </is>
      </c>
      <c r="L12" s="2" t="inlineStr">
        <is>
          <t>Warm, gentle</t>
        </is>
      </c>
      <c r="M12" s="2" t="inlineStr">
        <is>
          <t>Community/faith icons</t>
        </is>
      </c>
      <c r="N12" s="2" t="inlineStr">
        <is>
          <t>Warm, Community, Purposeful</t>
        </is>
      </c>
      <c r="O12" s="2" t="inlineStr">
        <is>
          <t>Congregation, community events</t>
        </is>
      </c>
      <c r="P12" s="2" t="inlineStr">
        <is>
          <t>Soft community illustrations</t>
        </is>
      </c>
      <c r="Q12" s="2" t="inlineStr">
        <is>
          <t>Centered hero with community photo</t>
        </is>
      </c>
      <c r="R12" s="2" t="inlineStr">
        <is>
          <t>Rounded card, 24px padding</t>
        </is>
      </c>
      <c r="S12" s="2" t="inlineStr">
        <is>
          <t>#7B2D8E</t>
        </is>
      </c>
      <c r="T12" s="2" t="inlineStr">
        <is>
          <t>See a Ministry Platform Demo</t>
        </is>
      </c>
    </row>
    <row r="13">
      <c r="A13" s="2" t="inlineStr">
        <is>
          <t>Creative</t>
        </is>
      </c>
      <c r="B13" s="2" t="inlineStr">
        <is>
          <t>#E63946</t>
        </is>
      </c>
      <c r="C13" s="2" t="inlineStr">
        <is>
          <t>#1D3557</t>
        </is>
      </c>
      <c r="D13" s="2" t="inlineStr">
        <is>
          <t>#F1FAEE</t>
        </is>
      </c>
      <c r="E13" s="2" t="inlineStr">
        <is>
          <t>#FAFAF8</t>
        </is>
      </c>
      <c r="F13" s="2" t="inlineStr">
        <is>
          <t>#14211D</t>
        </is>
      </c>
      <c r="G13" s="2" t="inlineStr">
        <is>
          <t>Space Grotesk</t>
        </is>
      </c>
      <c r="H13" s="2" t="inlineStr">
        <is>
          <t>Inter</t>
        </is>
      </c>
      <c r="I13" s="2" t="inlineStr">
        <is>
          <t>16/20/28/42</t>
        </is>
      </c>
      <c r="J13" s="2" t="inlineStr">
        <is>
          <t>10px</t>
        </is>
      </c>
      <c r="K13" s="2" t="inlineStr">
        <is>
          <t>0 4px 12px rgba(0,0,0,0.08)</t>
        </is>
      </c>
      <c r="L13" s="2" t="inlineStr">
        <is>
          <t>Bold, distinctive</t>
        </is>
      </c>
      <c r="M13" s="2" t="inlineStr">
        <is>
          <t>Creative/design icons</t>
        </is>
      </c>
      <c r="N13" s="2" t="inlineStr">
        <is>
          <t>Creative, Bold, Distinctive</t>
        </is>
      </c>
      <c r="O13" s="2" t="inlineStr">
        <is>
          <t>Portfolio-quality imagery</t>
        </is>
      </c>
      <c r="P13" s="2" t="inlineStr">
        <is>
          <t>Artistic/geometric illustrations</t>
        </is>
      </c>
      <c r="Q13" s="2" t="inlineStr">
        <is>
          <t>Full-bleed hero with portfolio work</t>
        </is>
      </c>
      <c r="R13" s="2" t="inlineStr">
        <is>
          <t>Minimal card, 24px padding</t>
        </is>
      </c>
      <c r="S13" s="2" t="inlineStr">
        <is>
          <t>#E63946</t>
        </is>
      </c>
      <c r="T13" s="2" t="inlineStr">
        <is>
          <t>Get Your Agency Assessment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1" t="inlineStr">
        <is>
          <t>Business Type</t>
        </is>
      </c>
      <c r="B1" s="1" t="inlineStr">
        <is>
          <t>GMB Primary Category</t>
        </is>
      </c>
      <c r="C1" s="1" t="inlineStr">
        <is>
          <t>GMB Additional Categories</t>
        </is>
      </c>
      <c r="D1" s="1" t="inlineStr">
        <is>
          <t>GMB Description (750 char limit)</t>
        </is>
      </c>
      <c r="E1" s="1" t="inlineStr">
        <is>
          <t>GMB Services (up to 20)</t>
        </is>
      </c>
      <c r="F1" s="1" t="inlineStr">
        <is>
          <t>GMB Products</t>
        </is>
      </c>
      <c r="G1" s="1" t="inlineStr">
        <is>
          <t>GMB Attributes</t>
        </is>
      </c>
      <c r="H1" s="1" t="inlineStr">
        <is>
          <t>GMB Business Hours Strategy</t>
        </is>
      </c>
      <c r="I1" s="1" t="inlineStr">
        <is>
          <t>GMB Photo Strategy</t>
        </is>
      </c>
      <c r="J1" s="1" t="inlineStr">
        <is>
          <t>GMB Post Types &amp; Frequency</t>
        </is>
      </c>
      <c r="K1" s="1" t="inlineStr">
        <is>
          <t>GMB Review Strategy</t>
        </is>
      </c>
      <c r="L1" s="1" t="inlineStr">
        <is>
          <t>GMB Q&amp;A Seed Questions</t>
        </is>
      </c>
      <c r="M1" s="1" t="inlineStr">
        <is>
          <t>NAP Consistency Notes</t>
        </is>
      </c>
      <c r="N1" s="1" t="inlineStr">
        <is>
          <t>Local SEO Citations</t>
        </is>
      </c>
    </row>
    <row r="2">
      <c r="A2" s="2" t="inlineStr">
        <is>
          <t>Digital Marketing Agency</t>
        </is>
      </c>
      <c r="B2" s="2" t="inlineStr">
        <is>
          <t>Marketing Agency</t>
        </is>
      </c>
      <c r="C2" s="2" t="inlineStr">
        <is>
          <t>Advertising Agency; Internet Marketing Service; Business Consultant</t>
        </is>
      </c>
      <c r="D2" s="2" t="inlineStr">
        <is>
          <t>Full-service lead generation and marketing automation agency. We replace 8+ marketing tools with one unified platform. Services include lead capture, scoring, multi-channel nurture, A/B testing, and ROI analytics. Serving agencies, service businesses, and franchises nationwide.</t>
        </is>
      </c>
      <c r="E2" s="2" t="inlineStr">
        <is>
          <t>Lead Generation; Marketing Automation; CRM Setup; Email Marketing; SMS Marketing; Landing Pages; A/B Testing; Analytics; SEO; Social Media Management; Paid Advertising; Content Marketing; Client Reporting; Review Management; Funnel Building; Conversion Optimization; Multi-Channel Nurture; WhatsApp Marketing; Voice AI; Marketplace Listing</t>
        </is>
      </c>
      <c r="F2" s="2" t="inlineStr">
        <is>
          <t>LeadOS Managed Starter; LeadOS Managed Growth; LeadOS Managed Enterprise; White-Label Platform; Lead Marketplace Access</t>
        </is>
      </c>
      <c r="G2" s="2" t="inlineStr">
        <is>
          <t>Online appointments; Wheelchair accessible; Free consultation; Service area delivery</t>
        </is>
      </c>
      <c r="H2" s="2" t="inlineStr">
        <is>
          <t>Mon-Fri 9am-6pm; Show as 'Open' during business hours; Enable messaging 24/7</t>
        </is>
      </c>
      <c r="I2" s="2" t="inlineStr">
        <is>
          <t>10+ team photos; office interior; before/after dashboards; client success screenshots; headshots of operators; logo</t>
        </is>
      </c>
      <c r="J2" s="2" t="inlineStr">
        <is>
          <t>What's New (2x/week): tips, case studies; Offer (1x/month): free assessment; Event (as needed): webinars</t>
        </is>
      </c>
      <c r="K2" s="2" t="inlineStr">
        <is>
          <t>Request review after strategy session; Auto-send review link in post-call email; Respond to all reviews within 24hrs</t>
        </is>
      </c>
      <c r="L2" s="2" t="inlineStr">
        <is>
          <t>What types of businesses do you work with?; How long until I see results?; Do you offer a free assessment?; What makes you different from other agencies?; Do you work with businesses in my area?</t>
        </is>
      </c>
      <c r="M2" s="2" t="inlineStr">
        <is>
          <t>Ensure exact same name/address/phone across all listings; Use local phone number; Consistent formatting</t>
        </is>
      </c>
      <c r="N2" s="2" t="inlineStr">
        <is>
          <t>Yelp, BBB, Clutch, UpCity, G2, Expertise.com, Thumbtack, Local Chamber of Commerce</t>
        </is>
      </c>
    </row>
    <row r="3">
      <c r="A3" s="2" t="inlineStr">
        <is>
          <t>SaaS Platform</t>
        </is>
      </c>
      <c r="B3" s="2" t="inlineStr">
        <is>
          <t>Software Company</t>
        </is>
      </c>
      <c r="C3" s="2" t="inlineStr">
        <is>
          <t>Technology Company; Business Consultant; Internet Service Provider</t>
        </is>
      </c>
      <c r="D3" s="2" t="inlineStr">
        <is>
          <t>White-label lead generation and CRM platform for businesses of all sizes. AI-powered lead scoring, multi-channel nurture, marketplace, and analytics. Instant deployment with custom branding. Serving SaaS builders, agencies, and lead generation companies.</t>
        </is>
      </c>
      <c r="E3" s="2" t="inlineStr">
        <is>
          <t>SaaS Platform; Lead Scoring; CRM Software; Marketing Automation; White-Label Platform; A/B Testing; Analytics Dashboard; API Integration; Multi-Tenant Management; Customer Health Scoring; Trial Conversion Optimization; Churn Prediction; Product-Led Growth; Self-Service Onboarding; Usage Analytics; Billing Management; Support Automation; Developer Tools</t>
        </is>
      </c>
      <c r="F3" s="2" t="inlineStr">
        <is>
          <t>White-Label Starter ($99/mo); White-Label Growth ($249/mo); White-Label Enterprise ($499/mo); Custom Implementation</t>
        </is>
      </c>
      <c r="G3" s="2" t="inlineStr">
        <is>
          <t>Online appointments; Wheelchair accessible; Free trial available; 24/7 support</t>
        </is>
      </c>
      <c r="H3" s="2" t="inlineStr">
        <is>
          <t>24/7 (platform always available); Support: Mon-Fri 9am-9pm</t>
        </is>
      </c>
      <c r="I3" s="2" t="inlineStr">
        <is>
          <t>Product screenshots; dashboard previews; team photos; customer success stories; office photos; logo</t>
        </is>
      </c>
      <c r="J3" s="2" t="inlineStr">
        <is>
          <t>What's New (3x/week): product updates, tips; Offer (2x/month): free trial, demo</t>
        </is>
      </c>
      <c r="K3" s="2" t="inlineStr">
        <is>
          <t>Request reviews from active users; In-app review prompt after milestone; G2 and Capterra listings</t>
        </is>
      </c>
      <c r="L3" s="2" t="inlineStr">
        <is>
          <t>Is there a free trial?; How long does setup take?; Can I white-label the platform?; What integrations do you support?; How is my data protected?</t>
        </is>
      </c>
      <c r="M3" s="2" t="inlineStr">
        <is>
          <t>Consistent across Crunchbase, G2, Capterra, ProductHunt, AngelList, LinkedIn</t>
        </is>
      </c>
      <c r="N3" s="2" t="inlineStr">
        <is>
          <t>G2, Capterra, ProductHunt, Crunchbase, AngelList, TrustPilot, Software Advice</t>
        </is>
      </c>
    </row>
    <row r="4">
      <c r="A4" s="2" t="inlineStr">
        <is>
          <t>Lead Generation Service</t>
        </is>
      </c>
      <c r="B4" s="2" t="inlineStr">
        <is>
          <t>Lead Generation Service</t>
        </is>
      </c>
      <c r="C4" s="2" t="inlineStr">
        <is>
          <t>Marketing Agency; Business Consultant; Sales Organization</t>
        </is>
      </c>
      <c r="D4" s="2" t="inlineStr">
        <is>
          <t>Qualified business lead marketplace with AI-powered scoring and temperature-based pricing. Buy and sell pre-qualified leads with real-time outcome tracking. Cold ($25), warm ($50), hot ($100), burning ($200) leads available across multiple industries.</t>
        </is>
      </c>
      <c r="E4" s="2" t="inlineStr">
        <is>
          <t>Qualified Lead Sales; Lead Scoring; Lead Marketplace; Industry-Specific Leads; Outcome Tracking; Lead Verification; Territory-Based Leads; Volume Discounts; Exclusive Leads; Real-Time Lead Delivery; Lead Quality Guarantee; Multi-Industry Coverage; Buyer Portal; Seller Dashboard; Revenue Analytics; Lead Dispute Resolution</t>
        </is>
      </c>
      <c r="F4" s="2" t="inlineStr">
        <is>
          <t>Pay-Per-Lead ($25-$500); Volume Packages; Territory Exclusives; Custom Lead Programs</t>
        </is>
      </c>
      <c r="G4" s="2" t="inlineStr">
        <is>
          <t>Online appointments; Free consultation; Results guarantee; Verified leads</t>
        </is>
      </c>
      <c r="H4" s="2" t="inlineStr">
        <is>
          <t>Mon-Fri 8am-8pm; Lead delivery 24/7</t>
        </is>
      </c>
      <c r="I4" s="2" t="inlineStr">
        <is>
          <t>Dashboard screenshots; lead quality metrics; buyer testimonials; marketplace stats; team photos</t>
        </is>
      </c>
      <c r="J4" s="2" t="inlineStr">
        <is>
          <t>What's New (2x/week): lead stats, success stories; Offer (1x/month): volume discounts</t>
        </is>
      </c>
      <c r="K4" s="2" t="inlineStr">
        <is>
          <t>Request reviews from lead buyers; Post-placement review automation; Respond to all within 24hrs</t>
        </is>
      </c>
      <c r="L4" s="2" t="inlineStr">
        <is>
          <t>How are leads scored?; What industries do you cover?; Can I get exclusive territory leads?; What is your lead quality guarantee?; How quickly are leads delivered?</t>
        </is>
      </c>
      <c r="M4" s="2" t="inlineStr">
        <is>
          <t>Same name/phone/address on all platforms; Use tracking number for GMB</t>
        </is>
      </c>
      <c r="N4" s="2" t="inlineStr">
        <is>
          <t>Clutch, UpCity, G2, BBB, Local Chamber, Industry Associations</t>
        </is>
      </c>
    </row>
    <row r="5">
      <c r="A5" s="2" t="inlineStr">
        <is>
          <t>Technology Consultant</t>
        </is>
      </c>
      <c r="B5" s="2" t="inlineStr">
        <is>
          <t>Business Consultant</t>
        </is>
      </c>
      <c r="C5" s="2" t="inlineStr">
        <is>
          <t>IT Service Provider; Management Consultant; Technology Company</t>
        </is>
      </c>
      <c r="D5" s="2" t="inlineStr">
        <is>
          <t>Business automation and technology implementation consultancy. We implement the lead systems other consultants recommend. Services include CRM setup, process automation, systems integration, and ongoing managed services. Serving agencies, service businesses, and enterprises.</t>
        </is>
      </c>
      <c r="E5" s="2" t="inlineStr">
        <is>
          <t>CRM Implementation; Process Automation; Systems Integration; Technology Consulting; Business Analysis; Digital Transformation; Data Migration; Staff Training; Managed Services; Strategy Sessions; Technology Audit; Workflow Design; API Development; Custom Software; Change Management; Support &amp; Maintenance</t>
        </is>
      </c>
      <c r="F5" s="2" t="inlineStr">
        <is>
          <t>Discovery Call (Free); Implementation ($5K-$25K); Monthly Retainer ($1K-$5K); Strategy Session</t>
        </is>
      </c>
      <c r="G5" s="2" t="inlineStr">
        <is>
          <t>Online appointments; Free consultation; On-site service; Remote service</t>
        </is>
      </c>
      <c r="H5" s="2" t="inlineStr">
        <is>
          <t>Mon-Fri 9am-6pm; Emergency support 24/7 for managed clients</t>
        </is>
      </c>
      <c r="I5" s="2" t="inlineStr">
        <is>
          <t>Office photos; project screenshots; client testimonials; team headshots; speaking photos; certifications</t>
        </is>
      </c>
      <c r="J5" s="2" t="inlineStr">
        <is>
          <t>What's New (2x/week): tech insights, case studies; Offer (1x/month): free audit</t>
        </is>
      </c>
      <c r="K5" s="2" t="inlineStr">
        <is>
          <t>Request reviews after successful implementation; Quarterly review request for retainer clients</t>
        </is>
      </c>
      <c r="L5" s="2" t="inlineStr">
        <is>
          <t>What technologies do you work with?; How long does implementation take?; Do you offer ongoing support?; What is your typical project size?; Can you work remotely?</t>
        </is>
      </c>
      <c r="M5" s="2" t="inlineStr">
        <is>
          <t>Consistent across LinkedIn, Clutch, UpCity, local directories</t>
        </is>
      </c>
      <c r="N5" s="2" t="inlineStr">
        <is>
          <t>Clutch, UpCity, LinkedIn, BBB, Local Chamber, Expertise.com, GoodFirms</t>
        </is>
      </c>
    </row>
    <row r="6">
      <c r="A6" s="2" t="inlineStr">
        <is>
          <t>Franchise Company</t>
        </is>
      </c>
      <c r="B6" s="2" t="inlineStr">
        <is>
          <t>Franchise Company</t>
        </is>
      </c>
      <c r="C6" s="2" t="inlineStr">
        <is>
          <t>Business Consultant; Marketing Agency; Management Consultant</t>
        </is>
      </c>
      <c r="D6" s="2" t="inlineStr">
        <is>
          <t>Multi-location franchise management platform. Centralized lead routing, brand compliance, performance benchmarking, and training across all franchise territories. Serving franchise brands with 5-500+ locations nationwide.</t>
        </is>
      </c>
      <c r="E6" s="2" t="inlineStr">
        <is>
          <t>Franchise Lead Management; Multi-Location CRM; Brand Compliance; Performance Benchmarking; Franchisee Training; Territory Management; Local Marketing Templates; Centralized Reporting; Franchisee Onboarding; Discovery Day Management; FDD Automation; Location-Level Analytics; Brand Asset Management; Compliance Monitoring</t>
        </is>
      </c>
      <c r="F6" s="2" t="inlineStr">
        <is>
          <t>Franchise Platform ($2K-$6K/mo per territory); Enterprise Custom; Strategy Sessions</t>
        </is>
      </c>
      <c r="G6" s="2" t="inlineStr">
        <is>
          <t>Online appointments; Free demo; Multi-location support; National coverage</t>
        </is>
      </c>
      <c r="H6" s="2" t="inlineStr">
        <is>
          <t>HQ: Mon-Fri 8am-6pm; Platform: 24/7; Support: Mon-Sat 8am-8pm</t>
        </is>
      </c>
      <c r="I6" s="2" t="inlineStr">
        <is>
          <t>Multi-location photos; HQ office; franchise event photos; dashboard screenshots; testimonials</t>
        </is>
      </c>
      <c r="J6" s="2" t="inlineStr">
        <is>
          <t>What's New (2x/week): franchise tips, benchmarks; Offer (quarterly): franchise demo days</t>
        </is>
      </c>
      <c r="K6" s="2" t="inlineStr">
        <is>
          <t>Request reviews from franchisors; Case study collection quarterly</t>
        </is>
      </c>
      <c r="L6" s="2" t="inlineStr">
        <is>
          <t>How many locations can you support?; What reporting do franchisees see?; How do you handle brand compliance?; Can we do a pilot with 5 locations?; What is the onboarding process?</t>
        </is>
      </c>
      <c r="M6" s="2" t="inlineStr">
        <is>
          <t>Consistent across IFA, Franchise.org, LinkedIn, industry directories</t>
        </is>
      </c>
      <c r="N6" s="2" t="inlineStr">
        <is>
          <t>IFA, Franchise.org, LinkedIn, Entrepreneur Franchise 500, Franchise Business Review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1" t="inlineStr">
        <is>
          <t>Industry</t>
        </is>
      </c>
      <c r="B1" s="1" t="inlineStr">
        <is>
          <t>Primary Keywords (High Intent)</t>
        </is>
      </c>
      <c r="C1" s="1" t="inlineStr">
        <is>
          <t>Secondary Keywords (Research Phase)</t>
        </is>
      </c>
      <c r="D1" s="1" t="inlineStr">
        <is>
          <t>Long-Tail Keywords</t>
        </is>
      </c>
      <c r="E1" s="1" t="inlineStr">
        <is>
          <t>Local Keywords Pattern</t>
        </is>
      </c>
      <c r="F1" s="1" t="inlineStr">
        <is>
          <t>Content Cluster Topics</t>
        </is>
      </c>
      <c r="G1" s="1" t="inlineStr">
        <is>
          <t>Page Title Pattern</t>
        </is>
      </c>
      <c r="H1" s="1" t="inlineStr">
        <is>
          <t>Meta Description Pattern</t>
        </is>
      </c>
      <c r="I1" s="1" t="inlineStr">
        <is>
          <t>Schema Markup Type</t>
        </is>
      </c>
      <c r="J1" s="1" t="inlineStr">
        <is>
          <t>Internal Linking Strategy</t>
        </is>
      </c>
      <c r="K1" s="1" t="inlineStr">
        <is>
          <t>Blog Post Ideas (5)</t>
        </is>
      </c>
      <c r="L1" s="1" t="inlineStr">
        <is>
          <t>Pillar Page Topic</t>
        </is>
      </c>
      <c r="M1" s="1" t="inlineStr">
        <is>
          <t>Link Building Targets</t>
        </is>
      </c>
    </row>
    <row r="2">
      <c r="A2" s="2" t="inlineStr">
        <is>
          <t>Service (Plumbing/HVAC/etc)</t>
        </is>
      </c>
      <c r="B2" s="2" t="inlineStr">
        <is>
          <t>plumbing lead generation, HVAC marketing automation, contractor CRM</t>
        </is>
      </c>
      <c r="C2" s="2" t="inlineStr">
        <is>
          <t>how to get more plumbing customers, HVAC marketing ideas, contractor lead management</t>
        </is>
      </c>
      <c r="D2" s="2" t="inlineStr">
        <is>
          <t>automated follow-up for plumbing companies, best CRM for HVAC contractors, how to reduce no-shows for service businesses</t>
        </is>
      </c>
      <c r="E2" s="2" t="inlineStr">
        <is>
          <t>{{niche}} lead generation [city], {{niche}} marketing automation [state], best {{niche}} CRM [region]</t>
        </is>
      </c>
      <c r="F2" s="2" t="inlineStr">
        <is>
          <t>Lead Generation for Trades, Customer Retention for Service Businesses, Local SEO for Contractors, Automation for Home Services</t>
        </is>
      </c>
      <c r="G2" s="2" t="inlineStr">
        <is>
          <t>{{Niche}} Lead Generation | Automated Booking &amp; Follow-Up | [Brand]</t>
        </is>
      </c>
      <c r="H2" s="2" t="inlineStr">
        <is>
          <t>Get more {{niche}} customers with automated lead capture, booking, and follow-up. Trusted by 200+ businesses. Free assessment.</t>
        </is>
      </c>
      <c r="I2" s="2" t="inlineStr">
        <is>
          <t>LocalBusiness, Service, FAQPage</t>
        </is>
      </c>
      <c r="J2" s="2" t="inlineStr">
        <is>
          <t>Service pages → Assessment → Case Studies → Blog → Contact</t>
        </is>
      </c>
      <c r="K2" s="2" t="inlineStr">
        <is>
          <t>How to get more {{niche}} leads without cold calling; 5 automations every {{niche}} business needs; The real cost of slow follow-up for {{niche}}; {{Niche}} marketing: what works in 2026; How to build a referral engine for {{niche}}</t>
        </is>
      </c>
      <c r="L2" s="2" t="inlineStr">
        <is>
          <t>The Complete Guide to {{Niche}} Lead Generation and Marketing Automation</t>
        </is>
      </c>
      <c r="M2" s="2" t="inlineStr">
        <is>
          <t>Home services directories, contractor associations, trade publications, local chambers</t>
        </is>
      </c>
    </row>
    <row r="3">
      <c r="A3" s="2" t="inlineStr">
        <is>
          <t>Legal</t>
        </is>
      </c>
      <c r="B3" s="2" t="inlineStr">
        <is>
          <t>law firm lead generation, attorney marketing automation, legal intake software</t>
        </is>
      </c>
      <c r="C3" s="2" t="inlineStr">
        <is>
          <t>how to get more clients for law firm, legal CRM comparison, attorney follow-up automation</t>
        </is>
      </c>
      <c r="D3" s="2" t="inlineStr">
        <is>
          <t>automated intake for immigration law firms, best CRM for personal injury attorneys, how to reduce client intake time for law firms</t>
        </is>
      </c>
      <c r="E3" s="2" t="inlineStr">
        <is>
          <t>{{practice}} attorney lead generation [city], {{practice}} law firm marketing [state]</t>
        </is>
      </c>
      <c r="F3" s="2" t="inlineStr">
        <is>
          <t>Legal Intake Optimization, Attorney Marketing, Law Firm Operations, Legal Compliance Technology</t>
        </is>
      </c>
      <c r="G3" s="2" t="inlineStr">
        <is>
          <t>{{Practice}} Attorney Lead Generation | Intake Automation | [Brand]</t>
        </is>
      </c>
      <c r="H3" s="2" t="inlineStr">
        <is>
          <t>Get more {{practice}} clients with automated intake, scoring, and follow-up. Used by 150+ firms. Free assessment.</t>
        </is>
      </c>
      <c r="I3" s="2" t="inlineStr">
        <is>
          <t>LegalService, ProfessionalService, FAQPage</t>
        </is>
      </c>
      <c r="J3" s="2" t="inlineStr">
        <is>
          <t>Practice area pages → Intake Assessment → Case Studies → Blog → Contact</t>
        </is>
      </c>
      <c r="K3" s="2" t="inlineStr">
        <is>
          <t>Why your law firm is losing clients at intake; 5 intake automations for {{practice}} firms; The hidden cost of slow follow-up in legal; How top firms use CRM to win more cases; Building authority as a {{practice}} attorney</t>
        </is>
      </c>
      <c r="L3" s="2" t="inlineStr">
        <is>
          <t>The Complete Guide to Law Firm Intake Automation and Client Acquisition</t>
        </is>
      </c>
      <c r="M3" s="2" t="inlineStr">
        <is>
          <t>Legal directories (Avvo, Justia, FindLaw), bar associations, legal tech publications</t>
        </is>
      </c>
    </row>
    <row r="4">
      <c r="A4" s="2" t="inlineStr">
        <is>
          <t>Healthcare</t>
        </is>
      </c>
      <c r="B4" s="2" t="inlineStr">
        <is>
          <t>dental practice marketing, medical practice lead generation, healthcare CRM</t>
        </is>
      </c>
      <c r="C4" s="2" t="inlineStr">
        <is>
          <t>how to reduce no-shows, patient scheduling automation, medical practice growth tips</t>
        </is>
      </c>
      <c r="D4" s="2" t="inlineStr">
        <is>
          <t>best patient scheduling software for dental practices, how to reactivate dormant patients, automated appointment reminders for clinics</t>
        </is>
      </c>
      <c r="E4" s="2" t="inlineStr">
        <is>
          <t>{{specialty}} practice marketing [city], {{specialty}} patient acquisition [state]</t>
        </is>
      </c>
      <c r="F4" s="2" t="inlineStr">
        <is>
          <t>Patient Acquisition, No-Show Reduction, Practice Growth, Patient Experience, Healthcare Marketing</t>
        </is>
      </c>
      <c r="G4" s="2" t="inlineStr">
        <is>
          <t>{{Specialty}} Practice Growth | Patient Scheduling &amp; Retention | [Brand]</t>
        </is>
      </c>
      <c r="H4" s="2" t="inlineStr">
        <is>
          <t>Grow your {{specialty}} practice with automated scheduling, reminders, and patient reactivation. Trusted by 300+ practices.</t>
        </is>
      </c>
      <c r="I4" s="2" t="inlineStr">
        <is>
          <t>MedicalBusiness, Physician, FAQPage</t>
        </is>
      </c>
      <c r="J4" s="2" t="inlineStr">
        <is>
          <t>Specialty pages → Practice Assessment → Case Studies → Blog → Contact</t>
        </is>
      </c>
      <c r="K4" s="2" t="inlineStr">
        <is>
          <t>How to reduce no-shows by 40% in your practice; 5 patient engagement automations; The real cost of empty appointment slots; How top practices grow without paid ads; Building a patient referral engine</t>
        </is>
      </c>
      <c r="L4" s="2" t="inlineStr">
        <is>
          <t>The Complete Guide to Medical Practice Growth and Patient Retention</t>
        </is>
      </c>
      <c r="M4" s="2" t="inlineStr">
        <is>
          <t>Healthcare directories (Healthgrades, Zocdoc, Vitals), medical associations, health tech publications</t>
        </is>
      </c>
    </row>
    <row r="5">
      <c r="A5" s="2" t="inlineStr">
        <is>
          <t>Technology / SaaS</t>
        </is>
      </c>
      <c r="B5" s="2" t="inlineStr">
        <is>
          <t>SaaS lead generation, product-led growth platform, trial conversion optimization</t>
        </is>
      </c>
      <c r="C5" s="2" t="inlineStr">
        <is>
          <t>how to reduce SaaS churn, product-led growth strategy, SaaS onboarding best practices</t>
        </is>
      </c>
      <c r="D5" s="2" t="inlineStr">
        <is>
          <t>best onboarding automation for SaaS, how to improve trial-to-paid conversion, customer health scoring software</t>
        </is>
      </c>
      <c r="E5" s="2" t="inlineStr">
        <is>
          <t>(typically national/global — no local pattern)</t>
        </is>
      </c>
      <c r="F5" s="2" t="inlineStr">
        <is>
          <t>Product-Led Growth, SaaS Metrics, User Activation, Churn Prevention, Trial Conversion</t>
        </is>
      </c>
      <c r="G5" s="2" t="inlineStr">
        <is>
          <t>SaaS Growth Engine | Trial Conversion &amp; Retention | [Brand]</t>
        </is>
      </c>
      <c r="H5" s="2" t="inlineStr">
        <is>
          <t>Optimize SaaS growth with automated onboarding, health scoring, and churn prediction. Used by 100+ companies.</t>
        </is>
      </c>
      <c r="I5" s="2" t="inlineStr">
        <is>
          <t>SoftwareApplication, Organization, FAQPage</t>
        </is>
      </c>
      <c r="J5" s="2" t="inlineStr">
        <is>
          <t>Product pages → Growth Assessment → Case Studies → Docs → Blog → Pricing</t>
        </is>
      </c>
      <c r="K5" s="2" t="inlineStr">
        <is>
          <t>Why 80% of SaaS trial users never activate; The PLG playbook for B2B SaaS; How to build a customer health score; 5 onboarding flows that convert; Reducing churn with automated engagement</t>
        </is>
      </c>
      <c r="L5" s="2" t="inlineStr">
        <is>
          <t>The Complete Guide to Product-Led Growth and SaaS Trial Conversion</t>
        </is>
      </c>
      <c r="M5" s="2" t="inlineStr">
        <is>
          <t>SaaS directories (G2, Capterra), tech publications, founder communities, Product Hunt</t>
        </is>
      </c>
    </row>
    <row r="6">
      <c r="A6" s="2" t="inlineStr">
        <is>
          <t>Construction</t>
        </is>
      </c>
      <c r="B6" s="2" t="inlineStr">
        <is>
          <t>contractor lead generation, construction CRM, bid management software</t>
        </is>
      </c>
      <c r="C6" s="2" t="inlineStr">
        <is>
          <t>how to win more construction bids, contractor marketing ideas, construction project management</t>
        </is>
      </c>
      <c r="D6" s="2" t="inlineStr">
        <is>
          <t>automated bid follow-up for contractors, best CRM for general contractors, construction safety compliance software</t>
        </is>
      </c>
      <c r="E6" s="2" t="inlineStr">
        <is>
          <t>{{trade}} contractor lead generation [city], construction company marketing [state]</t>
        </is>
      </c>
      <c r="F6" s="2" t="inlineStr">
        <is>
          <t>Bid Management, Project Scheduling, Safety Compliance, Contractor Marketing, Crew Management</t>
        </is>
      </c>
      <c r="G6" s="2" t="inlineStr">
        <is>
          <t>{{Trade}} Contractor Growth | Bid Management &amp; Scheduling | [Brand]</t>
        </is>
      </c>
      <c r="H6" s="2" t="inlineStr">
        <is>
          <t>Win more {{trade}} bids with automated follow-up, scheduling, and project management. Trusted by 100+ contractors.</t>
        </is>
      </c>
      <c r="I6" s="2" t="inlineStr">
        <is>
          <t>GeneralContractor, LocalBusiness, FAQPage</t>
        </is>
      </c>
      <c r="J6" s="2" t="inlineStr">
        <is>
          <t>Trade pages → Operations Assessment → Case Studies → Blog → Contact</t>
        </is>
      </c>
      <c r="K6" s="2" t="inlineStr">
        <is>
          <t>How to win 35% more construction bids; 5 automations every contractor needs; The real cost of scheduling conflicts; Building a referral engine for contractors; Safety compliance without the paperwork</t>
        </is>
      </c>
      <c r="L6" s="2" t="inlineStr">
        <is>
          <t>The Complete Guide to Construction Business Growth and Operations Automation</t>
        </is>
      </c>
      <c r="M6" s="2" t="inlineStr">
        <is>
          <t>Contractor directories, trade associations, construction publications, local BBB</t>
        </is>
      </c>
    </row>
    <row r="7">
      <c r="A7" s="2" t="inlineStr">
        <is>
          <t>Real Estate</t>
        </is>
      </c>
      <c r="B7" s="2" t="inlineStr">
        <is>
          <t>realtor lead generation, real estate CRM, agent marketing automation</t>
        </is>
      </c>
      <c r="C7" s="2" t="inlineStr">
        <is>
          <t>how to get more real estate leads, best CRM for realtors, real estate follow-up automation</t>
        </is>
      </c>
      <c r="D7" s="2" t="inlineStr">
        <is>
          <t>automated follow-up for real estate leads, best open house lead capture system, how to convert more real estate leads</t>
        </is>
      </c>
      <c r="E7" s="2" t="inlineStr">
        <is>
          <t>{{type}} real estate leads [city], realtor lead generation [market area]</t>
        </is>
      </c>
      <c r="F7" s="2" t="inlineStr">
        <is>
          <t>Lead Generation, Open House Capture, Listing Marketing, CRM Automation, Market Reports</t>
        </is>
      </c>
      <c r="G7" s="2" t="inlineStr">
        <is>
          <t>{{Market}} Real Estate Lead Generation | Automated Follow-Up | [Brand]</t>
        </is>
      </c>
      <c r="H7" s="2" t="inlineStr">
        <is>
          <t>Close more deals with automated lead follow-up, listing marketing, and open house capture. Used by 250+ agents.</t>
        </is>
      </c>
      <c r="I7" s="2" t="inlineStr">
        <is>
          <t>RealEstateAgent, LocalBusiness, FAQPage</t>
        </is>
      </c>
      <c r="J7" s="2" t="inlineStr">
        <is>
          <t>Market pages → Lead Assessment → Case Studies → Market Reports → Blog → Contact</t>
        </is>
      </c>
      <c r="K7" s="2" t="inlineStr">
        <is>
          <t>The 5-minute rule that closes 4x more deals; How top agents automate open house follow-up; 5 drip sequences every realtor should run; The real cost of slow lead response; Building a listing lead generation engine</t>
        </is>
      </c>
      <c r="L7" s="2" t="inlineStr">
        <is>
          <t>The Complete Guide to Real Estate Lead Generation and CRM Automation</t>
        </is>
      </c>
      <c r="M7" s="2" t="inlineStr">
        <is>
          <t>Real estate directories (Zillow, Realtor.com), NAR, local real estate boards, RE publications</t>
        </is>
      </c>
    </row>
    <row r="8">
      <c r="A8" s="2" t="inlineStr">
        <is>
          <t>Education</t>
        </is>
      </c>
      <c r="B8" s="2" t="inlineStr">
        <is>
          <t>enrollment marketing, student recruitment automation, education CRM</t>
        </is>
      </c>
      <c r="C8" s="2" t="inlineStr">
        <is>
          <t>how to increase enrollment, education marketing strategy, admissions automation</t>
        </is>
      </c>
      <c r="D8" s="2" t="inlineStr">
        <is>
          <t>automated enrollment nurture for online courses, best CRM for schools, how to reduce enrollment drop-off</t>
        </is>
      </c>
      <c r="E8" s="2" t="inlineStr">
        <is>
          <t>{{program}} enrollment marketing [city], {{institution}} student recruitment [state]</t>
        </is>
      </c>
      <c r="F8" s="2" t="inlineStr">
        <is>
          <t>Enrollment Marketing, Student Recruitment, Admissions Automation, Retention, Alumni Engagement</t>
        </is>
      </c>
      <c r="G8" s="2" t="inlineStr">
        <is>
          <t>{{Program}} Enrollment Growth | Admissions Automation | [Brand]</t>
        </is>
      </c>
      <c r="H8" s="2" t="inlineStr">
        <is>
          <t>Enroll more students with automated admissions nurture and retention tracking. Trusted by 75+ institutions.</t>
        </is>
      </c>
      <c r="I8" s="2" t="inlineStr">
        <is>
          <t>EducationalOrganization, Course, FAQPage</t>
        </is>
      </c>
      <c r="J8" s="2" t="inlineStr">
        <is>
          <t>Program pages → Enrollment Assessment → Success Stories → Blog → Contact</t>
        </is>
      </c>
      <c r="K8" s="2" t="inlineStr">
        <is>
          <t>How to enroll 40% more students with automation; 5 admissions automations that work; The hidden cost of slow enrollment follow-up; Building an alumni referral engine; Improving course completion rates</t>
        </is>
      </c>
      <c r="L8" s="2" t="inlineStr">
        <is>
          <t>The Complete Guide to Education Enrollment Marketing and Student Retention</t>
        </is>
      </c>
      <c r="M8" s="2" t="inlineStr">
        <is>
          <t>Education directories, accreditation bodies, education publications, LinkedIn</t>
        </is>
      </c>
    </row>
    <row r="9">
      <c r="A9" s="2" t="inlineStr">
        <is>
          <t>Finance</t>
        </is>
      </c>
      <c r="B9" s="2" t="inlineStr">
        <is>
          <t>financial advisor lead generation, accounting practice automation, tax firm CRM</t>
        </is>
      </c>
      <c r="C9" s="2" t="inlineStr">
        <is>
          <t>how to get more clients for accounting firm, financial advisor marketing, CPA practice growth</t>
        </is>
      </c>
      <c r="D9" s="2" t="inlineStr">
        <is>
          <t>automated client onboarding for financial advisors, best CRM for CPAs, compliance tracking for advisory firms</t>
        </is>
      </c>
      <c r="E9" s="2" t="inlineStr">
        <is>
          <t>{{practice}} advisor lead generation [city], {{practice}} firm marketing [state]</t>
        </is>
      </c>
      <c r="F9" s="2" t="inlineStr">
        <is>
          <t>Client Onboarding, Compliance Automation, Financial Planning Marketing, Practice Growth</t>
        </is>
      </c>
      <c r="G9" s="2" t="inlineStr">
        <is>
          <t>{{Practice}} Advisor Growth | Client Onboarding &amp; Compliance | [Brand]</t>
        </is>
      </c>
      <c r="H9" s="2" t="inlineStr">
        <is>
          <t>Grow your {{practice}} practice with automated onboarding, compliance, and client engagement. Trusted by 120+ firms.</t>
        </is>
      </c>
      <c r="I9" s="2" t="inlineStr">
        <is>
          <t>FinancialService, ProfessionalService, FAQPage</t>
        </is>
      </c>
      <c r="J9" s="2" t="inlineStr">
        <is>
          <t>Practice pages → Assessment → Case Studies → Blog → Contact</t>
        </is>
      </c>
      <c r="K9" s="2" t="inlineStr">
        <is>
          <t>How to onboard clients 60% faster; 5 compliance automations for advisory firms; The real cost of manual KYC; Building a referral engine for financial advisors; Client engagement between review meetings</t>
        </is>
      </c>
      <c r="L9" s="2" t="inlineStr">
        <is>
          <t>The Complete Guide to Financial Practice Growth and Client Automation</t>
        </is>
      </c>
      <c r="M9" s="2" t="inlineStr">
        <is>
          <t>Financial directories (XY Planning, NAPFA), professional associations (AICPA, CFP Board)</t>
        </is>
      </c>
    </row>
    <row r="10">
      <c r="A10" s="2" t="inlineStr">
        <is>
          <t>Franchise</t>
        </is>
      </c>
      <c r="B10" s="2" t="inlineStr">
        <is>
          <t>franchise lead management, multi-location CRM, franchise marketing automation</t>
        </is>
      </c>
      <c r="C10" s="2" t="inlineStr">
        <is>
          <t>how to improve franchise lead conversion, franchise operations platform, multi-location marketing</t>
        </is>
      </c>
      <c r="D10" s="2" t="inlineStr">
        <is>
          <t>best CRM for franchise systems, franchise brand compliance software, how to onboard franchisees faster</t>
        </is>
      </c>
      <c r="E10" s="2" t="inlineStr">
        <is>
          <t>{{brand}} franchise marketing [territory], franchise lead management [state]</t>
        </is>
      </c>
      <c r="F10" s="2" t="inlineStr">
        <is>
          <t>Franchise Development, Multi-Location Marketing, Brand Compliance, Territory Management</t>
        </is>
      </c>
      <c r="G10" s="2" t="inlineStr">
        <is>
          <t>{{Brand}} Franchise Growth | Multi-Location Automation | [Brand]</t>
        </is>
      </c>
      <c r="H10" s="2" t="inlineStr">
        <is>
          <t>Unify franchise marketing, lead routing, and performance tracking across all locations.</t>
        </is>
      </c>
      <c r="I10" s="2" t="inlineStr">
        <is>
          <t>Organization, LocalBusiness (per location), FAQPage</t>
        </is>
      </c>
      <c r="J10" s="2" t="inlineStr">
        <is>
          <t>Brand pages → Franchise Assessment → Case Studies → Blog → Contact</t>
        </is>
      </c>
      <c r="K10" s="2" t="inlineStr">
        <is>
          <t>How top franchise systems centralize lead management; 5 franchise automations that pay for themselves; Brand compliance without the headaches; Faster franchisee ramp-up with automation; Multi-location marketing that scales</t>
        </is>
      </c>
      <c r="L10" s="2" t="inlineStr">
        <is>
          <t>The Complete Guide to Franchise Operations and Marketing Automation</t>
        </is>
      </c>
      <c r="M10" s="2" t="inlineStr">
        <is>
          <t>IFA, Franchise.org, franchise publications, franchise broker networks</t>
        </is>
      </c>
    </row>
    <row r="11">
      <c r="A11" s="2" t="inlineStr">
        <is>
          <t>Staffing</t>
        </is>
      </c>
      <c r="B11" s="2" t="inlineStr">
        <is>
          <t>staffing agency CRM, recruitment automation, candidate pipeline software</t>
        </is>
      </c>
      <c r="C11" s="2" t="inlineStr">
        <is>
          <t>how to fill roles faster, staffing agency marketing, recruiter productivity tools</t>
        </is>
      </c>
      <c r="D11" s="2" t="inlineStr">
        <is>
          <t>automated candidate sourcing for staffing agencies, best CRM for recruitment firms, how to re-engage past candidates</t>
        </is>
      </c>
      <c r="E11" s="2" t="inlineStr">
        <is>
          <t>{{vertical}} staffing agency [city], recruitment firm lead generation [state]</t>
        </is>
      </c>
      <c r="F11" s="2" t="inlineStr">
        <is>
          <t>Candidate Sourcing, Placement Pipeline, Client Relations, Recruiter Productivity</t>
        </is>
      </c>
      <c r="G11" s="2" t="inlineStr">
        <is>
          <t>{{Vertical}} Staffing Growth | Candidate Pipeline &amp; Placement | [Brand]</t>
        </is>
      </c>
      <c r="H11" s="2" t="inlineStr">
        <is>
          <t>Place faster with automated candidate sourcing, client portals, and placement tracking.</t>
        </is>
      </c>
      <c r="I11" s="2" t="inlineStr">
        <is>
          <t>EmploymentAgency, LocalBusiness, FAQPage</t>
        </is>
      </c>
      <c r="J11" s="2" t="inlineStr">
        <is>
          <t>Vertical pages → Pipeline Assessment → Case Studies → Blog → Contact</t>
        </is>
      </c>
      <c r="K11" s="2" t="inlineStr">
        <is>
          <t>How to fill roles 50% faster with automation; 5 recruitment automations every agency needs; Re-engaging past candidates for new openings; Building a client retention engine; Reducing recruiter burnout with automation</t>
        </is>
      </c>
      <c r="L11" s="2" t="inlineStr">
        <is>
          <t>The Complete Guide to Staffing Agency Growth and Recruitment Automation</t>
        </is>
      </c>
      <c r="M11" s="2" t="inlineStr">
        <is>
          <t>Staffing industry directories (SIA, ASA), staffing publications, LinkedIn, job boards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2026-03-30T04:21:52Z</dcterms:created>
  <dcterms:modified xsi:type="dcterms:W3CDTF">2026-03-30T04:21:52Z</dcterms:modified>
</cp:coreProperties>
</file>